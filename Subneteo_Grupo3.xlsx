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https://upcedupe-my.sharepoint.com/personal/u202210838_upc_edu_pe/Documents/Redes y Comunicaciones de datos/Trabajos 2025 Redes y comunicacion de datos/Trabajos Parcial/Grupo 3/"/>
    </mc:Choice>
  </mc:AlternateContent>
  <xr:revisionPtr revIDLastSave="0" documentId="8_{B86E2CC3-5634-4196-B5EE-F4622BE3235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ERÚ" sheetId="1" r:id="rId1"/>
    <sheet name="LIMA" sheetId="2" r:id="rId2"/>
    <sheet name="LA LIBERTAD" sheetId="7" r:id="rId3"/>
    <sheet name="ICA" sheetId="8" r:id="rId4"/>
    <sheet name="HUANUCO" sheetId="9" r:id="rId5"/>
    <sheet name="PUNO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0" l="1"/>
  <c r="C32" i="10" s="1"/>
  <c r="C34" i="10" s="1"/>
  <c r="C29" i="10"/>
  <c r="C35" i="2"/>
  <c r="D29" i="9"/>
  <c r="C32" i="9" s="1"/>
  <c r="C34" i="9" s="1"/>
  <c r="C29" i="9"/>
  <c r="E18" i="9"/>
  <c r="F18" i="9"/>
  <c r="E18" i="10" l="1"/>
  <c r="F18" i="10"/>
  <c r="D29" i="8"/>
  <c r="C32" i="8" s="1"/>
  <c r="C34" i="8" s="1"/>
  <c r="C29" i="8"/>
  <c r="F18" i="8"/>
  <c r="F21" i="2"/>
  <c r="E21" i="2"/>
  <c r="D29" i="7" l="1"/>
  <c r="C32" i="7" s="1"/>
  <c r="C34" i="7" s="1"/>
  <c r="C29" i="7"/>
  <c r="F18" i="7"/>
  <c r="E18" i="7"/>
  <c r="E18" i="8" l="1"/>
</calcChain>
</file>

<file path=xl/sharedStrings.xml><?xml version="1.0" encoding="utf-8"?>
<sst xmlns="http://schemas.openxmlformats.org/spreadsheetml/2006/main" count="718" uniqueCount="350">
  <si>
    <t>Tabla1: Modelo de tabla de direccionamiento para las subredes de la multinacional</t>
  </si>
  <si>
    <t>Dirección IP (Padre)</t>
  </si>
  <si>
    <t>172.213.0.0/16</t>
  </si>
  <si>
    <t>Número de subredes requeridas</t>
  </si>
  <si>
    <t>Cantidad de bits para acomodar las subredes requeridas</t>
  </si>
  <si>
    <t>Dirección IP (Padre) en binario</t>
  </si>
  <si>
    <t>Subred</t>
  </si>
  <si>
    <t>1er Octeto</t>
  </si>
  <si>
    <t>2do Octeto</t>
  </si>
  <si>
    <t>3er Octeto</t>
  </si>
  <si>
    <t>4to Octeto</t>
  </si>
  <si>
    <t>Dirección de Red</t>
  </si>
  <si>
    <t>Longitud de Prefijo (LP)</t>
  </si>
  <si>
    <t>Nombre de la Sede</t>
  </si>
  <si>
    <t>S0</t>
  </si>
  <si>
    <t>00000000</t>
  </si>
  <si>
    <t>172.213.0.0</t>
  </si>
  <si>
    <t>/19</t>
  </si>
  <si>
    <t>Reservado</t>
  </si>
  <si>
    <t>S1</t>
  </si>
  <si>
    <t>00100000</t>
  </si>
  <si>
    <t>172.213.32.0</t>
  </si>
  <si>
    <t>Perú</t>
  </si>
  <si>
    <t>S2</t>
  </si>
  <si>
    <t>01000000</t>
  </si>
  <si>
    <t>172.213.64.0</t>
  </si>
  <si>
    <t>Chile</t>
  </si>
  <si>
    <t>S3</t>
  </si>
  <si>
    <t>01100000</t>
  </si>
  <si>
    <t>172.213.96.0</t>
  </si>
  <si>
    <t>Argentina</t>
  </si>
  <si>
    <t>S4</t>
  </si>
  <si>
    <t>10000000</t>
  </si>
  <si>
    <t>172.213.128.0</t>
  </si>
  <si>
    <t>Ecuador</t>
  </si>
  <si>
    <t>S5</t>
  </si>
  <si>
    <t>10100000</t>
  </si>
  <si>
    <t>172.213.160.0</t>
  </si>
  <si>
    <t>Colombia</t>
  </si>
  <si>
    <t>S6</t>
  </si>
  <si>
    <t>11000000</t>
  </si>
  <si>
    <t>172.213.192.0</t>
  </si>
  <si>
    <t>S7</t>
  </si>
  <si>
    <t>11100000</t>
  </si>
  <si>
    <t>172.213.224.0</t>
  </si>
  <si>
    <t>-</t>
  </si>
  <si>
    <t>Tabla 2: Modelo de tabla de direccionamiento para la casa matriz ubicada en Perú</t>
  </si>
  <si>
    <t>Sede Matriz</t>
  </si>
  <si>
    <t>172.213.32.0/19</t>
  </si>
  <si>
    <t>/22</t>
  </si>
  <si>
    <t>00100100</t>
  </si>
  <si>
    <t>172.213.36.0</t>
  </si>
  <si>
    <t>Redes WAN</t>
  </si>
  <si>
    <t>00101000</t>
  </si>
  <si>
    <t>172.213.40.0</t>
  </si>
  <si>
    <t>Lima (Sede Principal)</t>
  </si>
  <si>
    <t>00101100</t>
  </si>
  <si>
    <t>172.213.44.0</t>
  </si>
  <si>
    <t>La Libertad (Sucursal 1)</t>
  </si>
  <si>
    <t>00110000</t>
  </si>
  <si>
    <t>172.213.48.0</t>
  </si>
  <si>
    <t>Ica (Sucursal 2)</t>
  </si>
  <si>
    <t>00110100</t>
  </si>
  <si>
    <t>172.213.52.0</t>
  </si>
  <si>
    <t>Huanuco (Sucursal 3)</t>
  </si>
  <si>
    <t>00111000</t>
  </si>
  <si>
    <t>172.213.56.0</t>
  </si>
  <si>
    <t>Puno (Sucursal 4)</t>
  </si>
  <si>
    <t>00111100</t>
  </si>
  <si>
    <t>172.213.60.0</t>
  </si>
  <si>
    <t>Apellidos y Nombres</t>
  </si>
  <si>
    <t>Muñoz Guarnizo, Paula Ariana</t>
  </si>
  <si>
    <t>Nombre de la sede:</t>
  </si>
  <si>
    <t>Lima</t>
  </si>
  <si>
    <t>Dirección IP (subred):</t>
  </si>
  <si>
    <t>172.213.40.0/22</t>
  </si>
  <si>
    <t>Unidad Organizacional</t>
  </si>
  <si>
    <t>Nombre de la VLAN</t>
  </si>
  <si>
    <t>VLAN ID (VID)</t>
  </si>
  <si>
    <t>Requisitos de host actuales</t>
  </si>
  <si>
    <t>Requisitos de hosts Proyectados</t>
  </si>
  <si>
    <t>Mascara de Subred</t>
  </si>
  <si>
    <t>Primer Host</t>
  </si>
  <si>
    <t>Ultimo Host</t>
  </si>
  <si>
    <t>Dirección de Broadcast</t>
  </si>
  <si>
    <t>Ventas</t>
  </si>
  <si>
    <t>VET</t>
  </si>
  <si>
    <t>/24</t>
  </si>
  <si>
    <t>255.255.255.0</t>
  </si>
  <si>
    <t>172.213.40.1</t>
  </si>
  <si>
    <t>172.213.40.254</t>
  </si>
  <si>
    <t>172.213.40.255</t>
  </si>
  <si>
    <t>Administracion</t>
  </si>
  <si>
    <t>ADM</t>
  </si>
  <si>
    <t>/25</t>
  </si>
  <si>
    <t>255.255.255.128</t>
  </si>
  <si>
    <t>172.213.41.0</t>
  </si>
  <si>
    <t>172.213.41.1</t>
  </si>
  <si>
    <t>172.213.41.126</t>
  </si>
  <si>
    <t>172.213.41.127</t>
  </si>
  <si>
    <t>Finanzas</t>
  </si>
  <si>
    <t>FIN</t>
  </si>
  <si>
    <t>/26</t>
  </si>
  <si>
    <t>255.255.255.192</t>
  </si>
  <si>
    <t>172.213.41.128</t>
  </si>
  <si>
    <t>172.213.41.129</t>
  </si>
  <si>
    <t>172.213.41.190</t>
  </si>
  <si>
    <t>172.213.41.191</t>
  </si>
  <si>
    <t>Wifi-Ejecutivos</t>
  </si>
  <si>
    <t>WEJ</t>
  </si>
  <si>
    <t>172.213.41.192</t>
  </si>
  <si>
    <t>172.213.41.193</t>
  </si>
  <si>
    <t>172.213.41.254</t>
  </si>
  <si>
    <t>172.213.41.255</t>
  </si>
  <si>
    <t>Marketing</t>
  </si>
  <si>
    <t>MARK</t>
  </si>
  <si>
    <t>172.213.42.0</t>
  </si>
  <si>
    <t>172.213.42.1</t>
  </si>
  <si>
    <t>172.213.42.62</t>
  </si>
  <si>
    <t>172.213.42.63</t>
  </si>
  <si>
    <t>Logistica</t>
  </si>
  <si>
    <t>LOG</t>
  </si>
  <si>
    <t>/27</t>
  </si>
  <si>
    <t>255.255.255.224</t>
  </si>
  <si>
    <t>172.213.42.64</t>
  </si>
  <si>
    <t>172.213.42.65</t>
  </si>
  <si>
    <t>172.213.42.94</t>
  </si>
  <si>
    <t>172.213.42.95</t>
  </si>
  <si>
    <t>Nativa-Gestion</t>
  </si>
  <si>
    <t>NAT</t>
  </si>
  <si>
    <t>172.213.42.96</t>
  </si>
  <si>
    <t>172.213.42.97</t>
  </si>
  <si>
    <t>172.213.42.126</t>
  </si>
  <si>
    <t>172.213.42.127</t>
  </si>
  <si>
    <t>Wifi-Clientes</t>
  </si>
  <si>
    <t>WCL</t>
  </si>
  <si>
    <t>172.213.42.128</t>
  </si>
  <si>
    <t>172.213.42.129</t>
  </si>
  <si>
    <t>172.213.42.158</t>
  </si>
  <si>
    <t>172.213.42.159</t>
  </si>
  <si>
    <t>Servidores</t>
  </si>
  <si>
    <t>SER</t>
  </si>
  <si>
    <t>/28</t>
  </si>
  <si>
    <t>255.255.255.240</t>
  </si>
  <si>
    <t>172.213.42.160</t>
  </si>
  <si>
    <t>172.213.42.161</t>
  </si>
  <si>
    <t>172.213.42.174</t>
  </si>
  <si>
    <t>172.213.42.175</t>
  </si>
  <si>
    <t>WAN Lima - La Libertad</t>
  </si>
  <si>
    <t>/30</t>
  </si>
  <si>
    <t>255.255.255.252</t>
  </si>
  <si>
    <t>172.213.42.176</t>
  </si>
  <si>
    <t>172.213.42.177</t>
  </si>
  <si>
    <t>172.213.42.178</t>
  </si>
  <si>
    <t>172.213.42.179</t>
  </si>
  <si>
    <t>WAN Lima - Ica</t>
  </si>
  <si>
    <t>172.213.42.180</t>
  </si>
  <si>
    <t>172.213.42.181</t>
  </si>
  <si>
    <t>172.213.42.182</t>
  </si>
  <si>
    <t>172.213.42.183</t>
  </si>
  <si>
    <t>WAN Lima - Huanuco</t>
  </si>
  <si>
    <t>172.213.42.184</t>
  </si>
  <si>
    <t>172.213.42.185</t>
  </si>
  <si>
    <t>172.213.42.186</t>
  </si>
  <si>
    <t>172.213.42.187</t>
  </si>
  <si>
    <t>WAN Lima - Puno</t>
  </si>
  <si>
    <t>172.213.43.188</t>
  </si>
  <si>
    <t>172.213.43.189</t>
  </si>
  <si>
    <t>172.213.43.190</t>
  </si>
  <si>
    <t>172.213.43.191</t>
  </si>
  <si>
    <t>Total Hosts</t>
  </si>
  <si>
    <t>Requisitos de hosts proyectados</t>
  </si>
  <si>
    <t>Número de Switches</t>
  </si>
  <si>
    <t>Total</t>
  </si>
  <si>
    <t>Switches</t>
  </si>
  <si>
    <t>Total de hosts native necesarios</t>
  </si>
  <si>
    <t>Número de Switches Multilayer</t>
  </si>
  <si>
    <t>Cochachi Esteban, Luz Clarita</t>
  </si>
  <si>
    <t>La Libertad</t>
  </si>
  <si>
    <t>172.213.44.0/22</t>
  </si>
  <si>
    <t>172.213.44.1</t>
  </si>
  <si>
    <t>172.213.44.126</t>
  </si>
  <si>
    <t>172.213.44.127</t>
  </si>
  <si>
    <t>172.213.44.128</t>
  </si>
  <si>
    <t>172.213.44.129</t>
  </si>
  <si>
    <t>172.213.44.190</t>
  </si>
  <si>
    <t>172.213.44.191</t>
  </si>
  <si>
    <t>172.213.44.192</t>
  </si>
  <si>
    <t>172.213.44.193</t>
  </si>
  <si>
    <t>172.213.44.222</t>
  </si>
  <si>
    <t>172.213.44.223</t>
  </si>
  <si>
    <t>172.213.44.224</t>
  </si>
  <si>
    <t>172.213.44.225</t>
  </si>
  <si>
    <t>172.213.44.254</t>
  </si>
  <si>
    <t>172.213.44.255</t>
  </si>
  <si>
    <t>172.213.45.0</t>
  </si>
  <si>
    <t>172.213.45.1</t>
  </si>
  <si>
    <t>172.213.45.30</t>
  </si>
  <si>
    <t>172.213.45.31</t>
  </si>
  <si>
    <t>172.213.45.32</t>
  </si>
  <si>
    <t>172.213.45.33</t>
  </si>
  <si>
    <t>172.213.45.62</t>
  </si>
  <si>
    <t>172.213.45.63</t>
  </si>
  <si>
    <t>172.213.45.64</t>
  </si>
  <si>
    <t>172.213.45.65</t>
  </si>
  <si>
    <t>172.213.45.78</t>
  </si>
  <si>
    <t>172.213.45.79</t>
  </si>
  <si>
    <t>172.213.45.80</t>
  </si>
  <si>
    <t>172.213.45.81</t>
  </si>
  <si>
    <t>172.82.45.94</t>
  </si>
  <si>
    <t>172.213.45.95</t>
  </si>
  <si>
    <t>/29</t>
  </si>
  <si>
    <t>255.255.255.248</t>
  </si>
  <si>
    <t>172.213.45.96</t>
  </si>
  <si>
    <t>172.213.45.97</t>
  </si>
  <si>
    <t>172.213.45.102</t>
  </si>
  <si>
    <t>172.213.45.103</t>
  </si>
  <si>
    <t>WAN Libertad-Lima</t>
  </si>
  <si>
    <t>172.213.45.104</t>
  </si>
  <si>
    <t>172.213.45.105</t>
  </si>
  <si>
    <t>172.213.45.106</t>
  </si>
  <si>
    <t>172.213.45.107</t>
  </si>
  <si>
    <t>Ramirez Perez, Koky Aritomi</t>
  </si>
  <si>
    <t>Ica</t>
  </si>
  <si>
    <t>172.213.48.0/22</t>
  </si>
  <si>
    <t>172.213.48.1</t>
  </si>
  <si>
    <t>172.213.48.126</t>
  </si>
  <si>
    <t>172.213.48.127</t>
  </si>
  <si>
    <t>172.213.48.128</t>
  </si>
  <si>
    <t>172.213.48.129</t>
  </si>
  <si>
    <t>172.213.48.190</t>
  </si>
  <si>
    <t>172.213.48.191</t>
  </si>
  <si>
    <t>172.213.48.192</t>
  </si>
  <si>
    <t>172.213.48.193</t>
  </si>
  <si>
    <t>172.213.48.206</t>
  </si>
  <si>
    <t>172.213.48.207</t>
  </si>
  <si>
    <t>172.213.48.208</t>
  </si>
  <si>
    <t>172.213.48.209</t>
  </si>
  <si>
    <t>172.213.48.222</t>
  </si>
  <si>
    <t>172.213.48.223</t>
  </si>
  <si>
    <t>172.213.48.224</t>
  </si>
  <si>
    <t>172.213.48.225</t>
  </si>
  <si>
    <t>172.213.48.238</t>
  </si>
  <si>
    <t>172.213.48.239</t>
  </si>
  <si>
    <t>172.213.48.240</t>
  </si>
  <si>
    <t>172.213.48.241</t>
  </si>
  <si>
    <t>172.213.48.254</t>
  </si>
  <si>
    <t>172.213.48.255</t>
  </si>
  <si>
    <t>172.213.49.0</t>
  </si>
  <si>
    <t>172.213.49.1</t>
  </si>
  <si>
    <t>172.213.49.14</t>
  </si>
  <si>
    <t>172.213.49.15</t>
  </si>
  <si>
    <t>172.213.49.16</t>
  </si>
  <si>
    <t>172.213.49.17</t>
  </si>
  <si>
    <t>172.213.49.22</t>
  </si>
  <si>
    <t>172.213.49.23</t>
  </si>
  <si>
    <t>172.213.49.24</t>
  </si>
  <si>
    <t>172.213.49.25</t>
  </si>
  <si>
    <t>172.213.49.30</t>
  </si>
  <si>
    <t>172.213.49.31</t>
  </si>
  <si>
    <t>WAN Ica-Lima</t>
  </si>
  <si>
    <t> </t>
  </si>
  <si>
    <t>172.213.49.32</t>
  </si>
  <si>
    <t>172.213.49.33</t>
  </si>
  <si>
    <t>172.213.49.34</t>
  </si>
  <si>
    <t>172.213.49.35</t>
  </si>
  <si>
    <t>Oliva Cabanillas, Melanie Anai</t>
  </si>
  <si>
    <t>Huanuco</t>
  </si>
  <si>
    <t>172.213.52.0/22</t>
  </si>
  <si>
    <t>172.213.52.1</t>
  </si>
  <si>
    <t>172.213.52.62</t>
  </si>
  <si>
    <t>172.213.52.63</t>
  </si>
  <si>
    <t>172.213.52.64</t>
  </si>
  <si>
    <t>172.213.52.65</t>
  </si>
  <si>
    <t>172.213.52.94</t>
  </si>
  <si>
    <t>172.213.52.95</t>
  </si>
  <si>
    <t>172.213.52.96</t>
  </si>
  <si>
    <t>172.213.52.97</t>
  </si>
  <si>
    <t>172.213.52.126</t>
  </si>
  <si>
    <t>172.213.52.127</t>
  </si>
  <si>
    <t>172.213.52.128</t>
  </si>
  <si>
    <t>172.213.52.129</t>
  </si>
  <si>
    <t>172.213.52.142</t>
  </si>
  <si>
    <t>172.213.52.143</t>
  </si>
  <si>
    <t>172.213.52.144</t>
  </si>
  <si>
    <t>172.213.56.145</t>
  </si>
  <si>
    <t>172.213.52.158</t>
  </si>
  <si>
    <t>172.213.52.159</t>
  </si>
  <si>
    <t>172.213.52.160</t>
  </si>
  <si>
    <t>172.213.52.161</t>
  </si>
  <si>
    <t>172.213.52.174</t>
  </si>
  <si>
    <t>172.213.52.175</t>
  </si>
  <si>
    <t>172.213.52.176</t>
  </si>
  <si>
    <t>172.213.52.177</t>
  </si>
  <si>
    <t>172.213.52.190</t>
  </si>
  <si>
    <t>172.213.52.191</t>
  </si>
  <si>
    <t>172.213.52.192</t>
  </si>
  <si>
    <t>172.213.52.193</t>
  </si>
  <si>
    <t>172.213.52.198</t>
  </si>
  <si>
    <t>172.213.52.199</t>
  </si>
  <si>
    <t>172.213.52.200</t>
  </si>
  <si>
    <t>172.213.52.201</t>
  </si>
  <si>
    <t>172.213.55.206</t>
  </si>
  <si>
    <t>172.213.52.208</t>
  </si>
  <si>
    <t>WAN Lima-Huanuco</t>
  </si>
  <si>
    <t>172.213.52.209</t>
  </si>
  <si>
    <t>172.213.52.210</t>
  </si>
  <si>
    <t>172.213.52.211</t>
  </si>
  <si>
    <t>Mariana Vilma Pareja Villacorta</t>
  </si>
  <si>
    <t>Puno</t>
  </si>
  <si>
    <t>172.213.56.0/22</t>
  </si>
  <si>
    <t>172.213.56.1</t>
  </si>
  <si>
    <t>172.213.56.62</t>
  </si>
  <si>
    <t>172.213.56.63</t>
  </si>
  <si>
    <t>172.213.56.64</t>
  </si>
  <si>
    <t>172.213.56.65</t>
  </si>
  <si>
    <t>172.213.56.94</t>
  </si>
  <si>
    <t>172.213.56.95</t>
  </si>
  <si>
    <t>172.213.56.96</t>
  </si>
  <si>
    <t>172.213.56.97</t>
  </si>
  <si>
    <t>172.213.56.126</t>
  </si>
  <si>
    <t>172.213.56.127</t>
  </si>
  <si>
    <t>172.213.56.128</t>
  </si>
  <si>
    <t>172.213.56.129</t>
  </si>
  <si>
    <t>172.213.56.142</t>
  </si>
  <si>
    <t>172.213.56.143</t>
  </si>
  <si>
    <t>172.213.56.144</t>
  </si>
  <si>
    <t>172.213.56.158</t>
  </si>
  <si>
    <t>172.213.56.159</t>
  </si>
  <si>
    <t>172.213.56.160</t>
  </si>
  <si>
    <t>172.213.56.161</t>
  </si>
  <si>
    <t>172.213.56.174</t>
  </si>
  <si>
    <t>172.213.56.175</t>
  </si>
  <si>
    <t>172.213.56.176</t>
  </si>
  <si>
    <t>172.213.56.177</t>
  </si>
  <si>
    <t>172.213.56.190</t>
  </si>
  <si>
    <t>172.213.56.191</t>
  </si>
  <si>
    <t>172.213.56.192</t>
  </si>
  <si>
    <t>172.213.56.193</t>
  </si>
  <si>
    <t>171.213.56.198</t>
  </si>
  <si>
    <t>172.213.56.199</t>
  </si>
  <si>
    <t>172.213.56.200</t>
  </si>
  <si>
    <t>172.213.56.201</t>
  </si>
  <si>
    <t>172.213.59.206</t>
  </si>
  <si>
    <t>172.213.56.207</t>
  </si>
  <si>
    <t>WAN Lima-Puno</t>
  </si>
  <si>
    <t>172.213.56.208</t>
  </si>
  <si>
    <t>172.213.56.209</t>
  </si>
  <si>
    <t>172.213.56.210</t>
  </si>
  <si>
    <t>172.213.56.211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</si>
</sst>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Continuous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 vertical="center" wrapText="1"/>
    </xf>
    <xf numFmtId="0" fontId="1" fillId="2" borderId="0" xfId="0" applyFont="1" applyFill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Continuous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right" wrapText="1"/>
    </xf>
    <xf numFmtId="0" fontId="4" fillId="0" borderId="1" xfId="0" applyFont="1" applyBorder="1"/>
    <xf numFmtId="0" fontId="0" fillId="0" borderId="5" xfId="0" applyBorder="1"/>
    <xf numFmtId="1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Continuous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right" vertical="center"/>
    </xf>
    <xf numFmtId="1" fontId="4" fillId="0" borderId="1" xfId="0" applyNumberFormat="1" applyFont="1" applyBorder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" fontId="0" fillId="0" borderId="6" xfId="0" applyNumberForma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3" borderId="5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4" fillId="3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zoomScale="59" workbookViewId="0">
      <selection activeCell="J38" sqref="J38"/>
    </sheetView>
  </sheetViews>
  <sheetFormatPr baseColWidth="10" defaultColWidth="8.7109375" defaultRowHeight="15" x14ac:dyDescent="0.25"/>
  <cols>
    <col min="1" max="1" width="2.7109375" customWidth="1"/>
    <col min="2" max="8" width="19.85546875" customWidth="1"/>
    <col min="9" max="9" width="21.85546875" customWidth="1"/>
  </cols>
  <sheetData>
    <row r="1" spans="1:10" x14ac:dyDescent="0.2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</row>
    <row r="3" spans="1:10" x14ac:dyDescent="0.25">
      <c r="B3" s="6" t="s">
        <v>1</v>
      </c>
      <c r="C3" s="6"/>
      <c r="D3" s="6"/>
      <c r="E3" s="7" t="s">
        <v>2</v>
      </c>
    </row>
    <row r="4" spans="1:10" x14ac:dyDescent="0.25">
      <c r="B4" s="6" t="s">
        <v>3</v>
      </c>
      <c r="C4" s="6"/>
      <c r="D4" s="6"/>
      <c r="E4" s="7">
        <v>6</v>
      </c>
      <c r="J4" s="1"/>
    </row>
    <row r="5" spans="1:10" x14ac:dyDescent="0.25">
      <c r="B5" s="6" t="s">
        <v>4</v>
      </c>
      <c r="C5" s="6"/>
      <c r="D5" s="6"/>
      <c r="E5" s="7">
        <v>3</v>
      </c>
    </row>
    <row r="7" spans="1:10" x14ac:dyDescent="0.25">
      <c r="C7" s="6" t="s">
        <v>5</v>
      </c>
      <c r="D7" s="6"/>
      <c r="E7" s="6"/>
      <c r="F7" s="6"/>
    </row>
    <row r="8" spans="1:10" ht="30" x14ac:dyDescent="0.25">
      <c r="B8" s="2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2" t="s">
        <v>11</v>
      </c>
      <c r="H8" s="2" t="s">
        <v>12</v>
      </c>
      <c r="I8" s="2" t="s">
        <v>13</v>
      </c>
    </row>
    <row r="9" spans="1:10" x14ac:dyDescent="0.25">
      <c r="B9" s="3" t="s">
        <v>14</v>
      </c>
      <c r="C9" s="4">
        <v>10101100</v>
      </c>
      <c r="D9" s="4">
        <v>11010101</v>
      </c>
      <c r="E9" s="4" t="s">
        <v>15</v>
      </c>
      <c r="F9" s="4" t="s">
        <v>15</v>
      </c>
      <c r="G9" s="3" t="s">
        <v>16</v>
      </c>
      <c r="H9" s="3" t="s">
        <v>17</v>
      </c>
      <c r="I9" s="3" t="s">
        <v>18</v>
      </c>
    </row>
    <row r="10" spans="1:10" x14ac:dyDescent="0.25">
      <c r="B10" s="3" t="s">
        <v>19</v>
      </c>
      <c r="C10" s="4">
        <v>10101100</v>
      </c>
      <c r="D10" s="4">
        <v>11010101</v>
      </c>
      <c r="E10" s="4" t="s">
        <v>20</v>
      </c>
      <c r="F10" s="4" t="s">
        <v>15</v>
      </c>
      <c r="G10" s="3" t="s">
        <v>21</v>
      </c>
      <c r="H10" s="3" t="s">
        <v>17</v>
      </c>
      <c r="I10" s="3" t="s">
        <v>22</v>
      </c>
    </row>
    <row r="11" spans="1:10" x14ac:dyDescent="0.25">
      <c r="B11" s="3" t="s">
        <v>23</v>
      </c>
      <c r="C11" s="4">
        <v>10101100</v>
      </c>
      <c r="D11" s="4">
        <v>11010101</v>
      </c>
      <c r="E11" s="4" t="s">
        <v>24</v>
      </c>
      <c r="F11" s="4" t="s">
        <v>15</v>
      </c>
      <c r="G11" s="3" t="s">
        <v>25</v>
      </c>
      <c r="H11" s="3" t="s">
        <v>17</v>
      </c>
      <c r="I11" s="3" t="s">
        <v>26</v>
      </c>
    </row>
    <row r="12" spans="1:10" x14ac:dyDescent="0.25">
      <c r="B12" s="3" t="s">
        <v>27</v>
      </c>
      <c r="C12" s="4">
        <v>10101100</v>
      </c>
      <c r="D12" s="4">
        <v>11010101</v>
      </c>
      <c r="E12" s="4" t="s">
        <v>28</v>
      </c>
      <c r="F12" s="4" t="s">
        <v>15</v>
      </c>
      <c r="G12" s="3" t="s">
        <v>29</v>
      </c>
      <c r="H12" s="3" t="s">
        <v>17</v>
      </c>
      <c r="I12" s="3" t="s">
        <v>30</v>
      </c>
    </row>
    <row r="13" spans="1:10" x14ac:dyDescent="0.25">
      <c r="B13" s="3" t="s">
        <v>31</v>
      </c>
      <c r="C13" s="4">
        <v>10101100</v>
      </c>
      <c r="D13" s="4">
        <v>11010101</v>
      </c>
      <c r="E13" s="4" t="s">
        <v>32</v>
      </c>
      <c r="F13" s="4" t="s">
        <v>15</v>
      </c>
      <c r="G13" s="3" t="s">
        <v>33</v>
      </c>
      <c r="H13" s="3" t="s">
        <v>17</v>
      </c>
      <c r="I13" s="3" t="s">
        <v>34</v>
      </c>
    </row>
    <row r="14" spans="1:10" x14ac:dyDescent="0.25">
      <c r="B14" s="3" t="s">
        <v>35</v>
      </c>
      <c r="C14" s="4">
        <v>10101100</v>
      </c>
      <c r="D14" s="4">
        <v>11010101</v>
      </c>
      <c r="E14" s="4" t="s">
        <v>36</v>
      </c>
      <c r="F14" s="4" t="s">
        <v>15</v>
      </c>
      <c r="G14" s="3" t="s">
        <v>37</v>
      </c>
      <c r="H14" s="3" t="s">
        <v>17</v>
      </c>
      <c r="I14" s="3" t="s">
        <v>38</v>
      </c>
    </row>
    <row r="15" spans="1:10" x14ac:dyDescent="0.25">
      <c r="B15" s="3" t="s">
        <v>39</v>
      </c>
      <c r="C15" s="4">
        <v>10101100</v>
      </c>
      <c r="D15" s="4">
        <v>11010101</v>
      </c>
      <c r="E15" s="4" t="s">
        <v>40</v>
      </c>
      <c r="F15" s="4" t="s">
        <v>15</v>
      </c>
      <c r="G15" s="3" t="s">
        <v>41</v>
      </c>
      <c r="H15" s="3" t="s">
        <v>17</v>
      </c>
      <c r="I15" s="3"/>
    </row>
    <row r="16" spans="1:10" x14ac:dyDescent="0.25">
      <c r="B16" s="3" t="s">
        <v>42</v>
      </c>
      <c r="C16" s="4">
        <v>10101100</v>
      </c>
      <c r="D16" s="4">
        <v>11010101</v>
      </c>
      <c r="E16" s="4" t="s">
        <v>43</v>
      </c>
      <c r="F16" s="4" t="s">
        <v>15</v>
      </c>
      <c r="G16" s="3" t="s">
        <v>44</v>
      </c>
      <c r="H16" s="3" t="s">
        <v>17</v>
      </c>
      <c r="I16" s="3" t="s">
        <v>45</v>
      </c>
    </row>
    <row r="18" spans="1:10" x14ac:dyDescent="0.25">
      <c r="A18" s="9" t="s">
        <v>46</v>
      </c>
      <c r="B18" s="9"/>
      <c r="C18" s="9"/>
      <c r="D18" s="9"/>
      <c r="E18" s="9"/>
      <c r="F18" s="9"/>
      <c r="G18" s="9"/>
      <c r="H18" s="9"/>
      <c r="I18" s="9"/>
      <c r="J18" s="9"/>
    </row>
    <row r="20" spans="1:10" x14ac:dyDescent="0.25">
      <c r="B20" s="6" t="s">
        <v>47</v>
      </c>
      <c r="C20" s="6"/>
      <c r="D20" s="10"/>
      <c r="E20" s="7" t="s">
        <v>22</v>
      </c>
    </row>
    <row r="21" spans="1:10" x14ac:dyDescent="0.25">
      <c r="B21" s="6" t="s">
        <v>1</v>
      </c>
      <c r="C21" s="6"/>
      <c r="D21" s="10"/>
      <c r="E21" s="7" t="s">
        <v>48</v>
      </c>
    </row>
    <row r="22" spans="1:10" x14ac:dyDescent="0.25">
      <c r="B22" s="6" t="s">
        <v>3</v>
      </c>
      <c r="C22" s="6"/>
      <c r="D22" s="10"/>
      <c r="E22" s="7">
        <v>7</v>
      </c>
    </row>
    <row r="23" spans="1:10" x14ac:dyDescent="0.25">
      <c r="B23" s="6" t="s">
        <v>4</v>
      </c>
      <c r="C23" s="6"/>
      <c r="D23" s="10"/>
      <c r="E23" s="7">
        <v>3</v>
      </c>
    </row>
    <row r="26" spans="1:10" x14ac:dyDescent="0.25">
      <c r="C26" s="12" t="s">
        <v>5</v>
      </c>
      <c r="D26" s="12"/>
      <c r="E26" s="12"/>
      <c r="F26" s="12"/>
    </row>
    <row r="27" spans="1:10" ht="37.5" customHeight="1" x14ac:dyDescent="0.25">
      <c r="B27" s="2" t="s">
        <v>6</v>
      </c>
      <c r="C27" s="8" t="s">
        <v>7</v>
      </c>
      <c r="D27" s="8" t="s">
        <v>8</v>
      </c>
      <c r="E27" s="8" t="s">
        <v>9</v>
      </c>
      <c r="F27" s="8" t="s">
        <v>10</v>
      </c>
      <c r="G27" s="2" t="s">
        <v>11</v>
      </c>
      <c r="H27" s="2" t="s">
        <v>12</v>
      </c>
      <c r="I27" s="2" t="s">
        <v>13</v>
      </c>
    </row>
    <row r="28" spans="1:10" x14ac:dyDescent="0.25">
      <c r="B28" s="3" t="s">
        <v>14</v>
      </c>
      <c r="C28" s="4">
        <v>10101100</v>
      </c>
      <c r="D28" s="4">
        <v>11010101</v>
      </c>
      <c r="E28" s="4" t="s">
        <v>20</v>
      </c>
      <c r="F28" s="4" t="s">
        <v>15</v>
      </c>
      <c r="G28" s="3" t="s">
        <v>21</v>
      </c>
      <c r="H28" s="3" t="s">
        <v>49</v>
      </c>
      <c r="I28" s="3" t="s">
        <v>18</v>
      </c>
    </row>
    <row r="29" spans="1:10" x14ac:dyDescent="0.25">
      <c r="B29" s="3" t="s">
        <v>19</v>
      </c>
      <c r="C29" s="4">
        <v>10101100</v>
      </c>
      <c r="D29" s="4">
        <v>11010101</v>
      </c>
      <c r="E29" s="4" t="s">
        <v>50</v>
      </c>
      <c r="F29" s="4" t="s">
        <v>15</v>
      </c>
      <c r="G29" s="3" t="s">
        <v>51</v>
      </c>
      <c r="H29" s="3" t="s">
        <v>49</v>
      </c>
      <c r="I29" s="3" t="s">
        <v>52</v>
      </c>
    </row>
    <row r="30" spans="1:10" x14ac:dyDescent="0.25">
      <c r="B30" s="3" t="s">
        <v>23</v>
      </c>
      <c r="C30" s="4">
        <v>10101100</v>
      </c>
      <c r="D30" s="4">
        <v>11010101</v>
      </c>
      <c r="E30" s="4" t="s">
        <v>53</v>
      </c>
      <c r="F30" s="4" t="s">
        <v>15</v>
      </c>
      <c r="G30" s="3" t="s">
        <v>54</v>
      </c>
      <c r="H30" s="3" t="s">
        <v>49</v>
      </c>
      <c r="I30" s="3" t="s">
        <v>55</v>
      </c>
    </row>
    <row r="31" spans="1:10" x14ac:dyDescent="0.25">
      <c r="B31" s="3" t="s">
        <v>27</v>
      </c>
      <c r="C31" s="4">
        <v>10101100</v>
      </c>
      <c r="D31" s="4">
        <v>11010101</v>
      </c>
      <c r="E31" s="4" t="s">
        <v>56</v>
      </c>
      <c r="F31" s="4" t="s">
        <v>15</v>
      </c>
      <c r="G31" s="3" t="s">
        <v>57</v>
      </c>
      <c r="H31" s="3" t="s">
        <v>49</v>
      </c>
      <c r="I31" s="3" t="s">
        <v>58</v>
      </c>
    </row>
    <row r="32" spans="1:10" x14ac:dyDescent="0.25">
      <c r="B32" s="3" t="s">
        <v>31</v>
      </c>
      <c r="C32" s="4">
        <v>10101100</v>
      </c>
      <c r="D32" s="4">
        <v>11010101</v>
      </c>
      <c r="E32" s="4" t="s">
        <v>59</v>
      </c>
      <c r="F32" s="4" t="s">
        <v>15</v>
      </c>
      <c r="G32" s="3" t="s">
        <v>60</v>
      </c>
      <c r="H32" s="3" t="s">
        <v>49</v>
      </c>
      <c r="I32" s="3" t="s">
        <v>61</v>
      </c>
    </row>
    <row r="33" spans="2:9" x14ac:dyDescent="0.25">
      <c r="B33" s="3" t="s">
        <v>35</v>
      </c>
      <c r="C33" s="4">
        <v>10101100</v>
      </c>
      <c r="D33" s="4">
        <v>11010101</v>
      </c>
      <c r="E33" s="4" t="s">
        <v>62</v>
      </c>
      <c r="F33" s="4" t="s">
        <v>15</v>
      </c>
      <c r="G33" s="3" t="s">
        <v>63</v>
      </c>
      <c r="H33" s="3" t="s">
        <v>49</v>
      </c>
      <c r="I33" s="3" t="s">
        <v>64</v>
      </c>
    </row>
    <row r="34" spans="2:9" x14ac:dyDescent="0.25">
      <c r="B34" s="3" t="s">
        <v>39</v>
      </c>
      <c r="C34" s="4">
        <v>10101100</v>
      </c>
      <c r="D34" s="4">
        <v>11010101</v>
      </c>
      <c r="E34" s="4" t="s">
        <v>65</v>
      </c>
      <c r="F34" s="4" t="s">
        <v>15</v>
      </c>
      <c r="G34" s="3" t="s">
        <v>66</v>
      </c>
      <c r="H34" s="3" t="s">
        <v>49</v>
      </c>
      <c r="I34" s="3" t="s">
        <v>67</v>
      </c>
    </row>
    <row r="35" spans="2:9" x14ac:dyDescent="0.25">
      <c r="B35" s="3" t="s">
        <v>42</v>
      </c>
      <c r="C35" s="4">
        <v>10101100</v>
      </c>
      <c r="D35" s="4">
        <v>11010101</v>
      </c>
      <c r="E35" s="4" t="s">
        <v>68</v>
      </c>
      <c r="F35" s="4" t="s">
        <v>15</v>
      </c>
      <c r="G35" s="3" t="s">
        <v>69</v>
      </c>
      <c r="H35" s="3" t="s">
        <v>49</v>
      </c>
      <c r="I35" s="3" t="s">
        <v>45</v>
      </c>
    </row>
  </sheetData>
  <mergeCells count="1">
    <mergeCell ref="A1:J1"/>
  </mergeCells>
  <phoneticPr fontId="3" type="noConversion"/>
  <pageMargins left="0.7" right="0.7" top="0.75" bottom="0.75" header="0.3" footer="0.3"/>
  <ignoredErrors>
    <ignoredError sqref="E9:F16 E28:F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7BE9-F218-4635-9B5C-8D5FB2C53F04}">
  <dimension ref="B3:L37"/>
  <sheetViews>
    <sheetView zoomScale="82" workbookViewId="0">
      <selection activeCell="I20" sqref="I20"/>
    </sheetView>
  </sheetViews>
  <sheetFormatPr baseColWidth="10" defaultColWidth="8.7109375" defaultRowHeight="15" x14ac:dyDescent="0.25"/>
  <cols>
    <col min="2" max="2" width="20.42578125" customWidth="1"/>
    <col min="3" max="3" width="17.85546875" customWidth="1"/>
    <col min="4" max="4" width="15" customWidth="1"/>
    <col min="5" max="12" width="17.85546875" customWidth="1"/>
  </cols>
  <sheetData>
    <row r="3" spans="2:12" ht="45" x14ac:dyDescent="0.25">
      <c r="B3" s="26" t="s">
        <v>70</v>
      </c>
      <c r="C3" s="26"/>
      <c r="D3" s="20" t="s">
        <v>71</v>
      </c>
    </row>
    <row r="4" spans="2:12" x14ac:dyDescent="0.25">
      <c r="B4" s="27" t="s">
        <v>72</v>
      </c>
      <c r="C4" s="27"/>
      <c r="D4" s="7" t="s">
        <v>73</v>
      </c>
    </row>
    <row r="5" spans="2:12" x14ac:dyDescent="0.25">
      <c r="B5" s="27" t="s">
        <v>74</v>
      </c>
      <c r="C5" s="27"/>
      <c r="D5" s="7" t="s">
        <v>75</v>
      </c>
    </row>
    <row r="6" spans="2:12" x14ac:dyDescent="0.25">
      <c r="B6" s="13"/>
    </row>
    <row r="7" spans="2:12" ht="30" x14ac:dyDescent="0.25">
      <c r="B7" s="47" t="s">
        <v>76</v>
      </c>
      <c r="C7" s="47" t="s">
        <v>77</v>
      </c>
      <c r="D7" s="47" t="s">
        <v>78</v>
      </c>
      <c r="E7" s="47" t="s">
        <v>79</v>
      </c>
      <c r="F7" s="47" t="s">
        <v>80</v>
      </c>
      <c r="G7" s="47" t="s">
        <v>12</v>
      </c>
      <c r="H7" s="47" t="s">
        <v>81</v>
      </c>
      <c r="I7" s="47" t="s">
        <v>11</v>
      </c>
      <c r="J7" s="47" t="s">
        <v>82</v>
      </c>
      <c r="K7" s="47" t="s">
        <v>83</v>
      </c>
      <c r="L7" s="47" t="s">
        <v>84</v>
      </c>
    </row>
    <row r="8" spans="2:12" x14ac:dyDescent="0.25">
      <c r="B8" s="21" t="s">
        <v>85</v>
      </c>
      <c r="C8" s="5" t="s">
        <v>86</v>
      </c>
      <c r="D8" s="5">
        <v>10</v>
      </c>
      <c r="E8" s="14">
        <v>198</v>
      </c>
      <c r="F8" s="15">
        <v>238</v>
      </c>
      <c r="G8" s="14" t="s">
        <v>87</v>
      </c>
      <c r="H8" s="17" t="s">
        <v>88</v>
      </c>
      <c r="I8" s="14" t="s">
        <v>54</v>
      </c>
      <c r="J8" s="14" t="s">
        <v>89</v>
      </c>
      <c r="K8" s="14" t="s">
        <v>90</v>
      </c>
      <c r="L8" s="14" t="s">
        <v>91</v>
      </c>
    </row>
    <row r="9" spans="2:12" x14ac:dyDescent="0.25">
      <c r="B9" s="21" t="s">
        <v>92</v>
      </c>
      <c r="C9" s="5" t="s">
        <v>93</v>
      </c>
      <c r="D9" s="5">
        <v>20</v>
      </c>
      <c r="E9" s="14">
        <v>100</v>
      </c>
      <c r="F9" s="15">
        <v>120</v>
      </c>
      <c r="G9" s="14" t="s">
        <v>94</v>
      </c>
      <c r="H9" s="14" t="s">
        <v>95</v>
      </c>
      <c r="I9" s="14" t="s">
        <v>96</v>
      </c>
      <c r="J9" s="14" t="s">
        <v>97</v>
      </c>
      <c r="K9" s="14" t="s">
        <v>98</v>
      </c>
      <c r="L9" s="14" t="s">
        <v>99</v>
      </c>
    </row>
    <row r="10" spans="2:12" x14ac:dyDescent="0.25">
      <c r="B10" s="21" t="s">
        <v>100</v>
      </c>
      <c r="C10" s="5" t="s">
        <v>101</v>
      </c>
      <c r="D10" s="5">
        <v>30</v>
      </c>
      <c r="E10" s="14">
        <v>41</v>
      </c>
      <c r="F10" s="15">
        <v>50</v>
      </c>
      <c r="G10" s="14" t="s">
        <v>102</v>
      </c>
      <c r="H10" s="17" t="s">
        <v>103</v>
      </c>
      <c r="I10" s="14" t="s">
        <v>104</v>
      </c>
      <c r="J10" s="14" t="s">
        <v>105</v>
      </c>
      <c r="K10" s="14" t="s">
        <v>106</v>
      </c>
      <c r="L10" s="14" t="s">
        <v>107</v>
      </c>
    </row>
    <row r="11" spans="2:12" x14ac:dyDescent="0.25">
      <c r="B11" s="21" t="s">
        <v>108</v>
      </c>
      <c r="C11" s="5" t="s">
        <v>109</v>
      </c>
      <c r="D11" s="5">
        <v>40</v>
      </c>
      <c r="E11" s="14">
        <v>31</v>
      </c>
      <c r="F11" s="15">
        <v>38</v>
      </c>
      <c r="G11" s="14" t="s">
        <v>102</v>
      </c>
      <c r="H11" s="14" t="s">
        <v>103</v>
      </c>
      <c r="I11" s="14" t="s">
        <v>110</v>
      </c>
      <c r="J11" s="14" t="s">
        <v>111</v>
      </c>
      <c r="K11" s="14" t="s">
        <v>112</v>
      </c>
      <c r="L11" s="14" t="s">
        <v>113</v>
      </c>
    </row>
    <row r="12" spans="2:12" x14ac:dyDescent="0.25">
      <c r="B12" s="21" t="s">
        <v>114</v>
      </c>
      <c r="C12" s="5" t="s">
        <v>115</v>
      </c>
      <c r="D12" s="5">
        <v>50</v>
      </c>
      <c r="E12" s="14">
        <v>29</v>
      </c>
      <c r="F12" s="15">
        <v>35</v>
      </c>
      <c r="G12" s="14" t="s">
        <v>102</v>
      </c>
      <c r="H12" s="14" t="s">
        <v>103</v>
      </c>
      <c r="I12" s="14" t="s">
        <v>116</v>
      </c>
      <c r="J12" s="14" t="s">
        <v>117</v>
      </c>
      <c r="K12" s="14" t="s">
        <v>118</v>
      </c>
      <c r="L12" s="14" t="s">
        <v>119</v>
      </c>
    </row>
    <row r="13" spans="2:12" x14ac:dyDescent="0.25">
      <c r="B13" s="21" t="s">
        <v>120</v>
      </c>
      <c r="C13" s="5" t="s">
        <v>121</v>
      </c>
      <c r="D13" s="5">
        <v>60</v>
      </c>
      <c r="E13" s="14">
        <v>25</v>
      </c>
      <c r="F13" s="15">
        <v>30</v>
      </c>
      <c r="G13" s="14" t="s">
        <v>122</v>
      </c>
      <c r="H13" s="11" t="s">
        <v>123</v>
      </c>
      <c r="I13" s="14" t="s">
        <v>124</v>
      </c>
      <c r="J13" s="14" t="s">
        <v>125</v>
      </c>
      <c r="K13" s="14" t="s">
        <v>126</v>
      </c>
      <c r="L13" s="14" t="s">
        <v>127</v>
      </c>
    </row>
    <row r="14" spans="2:12" x14ac:dyDescent="0.25">
      <c r="B14" s="21" t="s">
        <v>128</v>
      </c>
      <c r="C14" s="5" t="s">
        <v>129</v>
      </c>
      <c r="D14" s="5">
        <v>99</v>
      </c>
      <c r="E14" s="14"/>
      <c r="F14" s="15">
        <v>30</v>
      </c>
      <c r="G14" s="14" t="s">
        <v>122</v>
      </c>
      <c r="H14" s="3" t="s">
        <v>123</v>
      </c>
      <c r="I14" s="14" t="s">
        <v>130</v>
      </c>
      <c r="J14" s="14" t="s">
        <v>131</v>
      </c>
      <c r="K14" s="14" t="s">
        <v>132</v>
      </c>
      <c r="L14" s="14" t="s">
        <v>133</v>
      </c>
    </row>
    <row r="15" spans="2:12" x14ac:dyDescent="0.25">
      <c r="B15" s="21" t="s">
        <v>134</v>
      </c>
      <c r="C15" s="5" t="s">
        <v>135</v>
      </c>
      <c r="D15" s="5">
        <v>70</v>
      </c>
      <c r="E15" s="14">
        <v>18</v>
      </c>
      <c r="F15" s="15">
        <v>22</v>
      </c>
      <c r="G15" s="14" t="s">
        <v>122</v>
      </c>
      <c r="H15" s="3" t="s">
        <v>123</v>
      </c>
      <c r="I15" s="14" t="s">
        <v>136</v>
      </c>
      <c r="J15" s="14" t="s">
        <v>137</v>
      </c>
      <c r="K15" s="14" t="s">
        <v>138</v>
      </c>
      <c r="L15" s="14" t="s">
        <v>139</v>
      </c>
    </row>
    <row r="16" spans="2:12" x14ac:dyDescent="0.25">
      <c r="B16" s="21" t="s">
        <v>140</v>
      </c>
      <c r="C16" s="5" t="s">
        <v>141</v>
      </c>
      <c r="D16" s="5">
        <v>80</v>
      </c>
      <c r="E16" s="14">
        <v>10</v>
      </c>
      <c r="F16" s="15">
        <v>12</v>
      </c>
      <c r="G16" s="14" t="s">
        <v>142</v>
      </c>
      <c r="H16" s="14" t="s">
        <v>143</v>
      </c>
      <c r="I16" s="14" t="s">
        <v>144</v>
      </c>
      <c r="J16" s="14" t="s">
        <v>145</v>
      </c>
      <c r="K16" s="14" t="s">
        <v>146</v>
      </c>
      <c r="L16" s="14" t="s">
        <v>147</v>
      </c>
    </row>
    <row r="17" spans="2:12" x14ac:dyDescent="0.25">
      <c r="B17" s="21" t="s">
        <v>148</v>
      </c>
      <c r="C17" s="5"/>
      <c r="D17" s="5"/>
      <c r="E17" s="14">
        <v>2</v>
      </c>
      <c r="F17" s="15">
        <v>2</v>
      </c>
      <c r="G17" s="14" t="s">
        <v>149</v>
      </c>
      <c r="H17" s="14" t="s">
        <v>150</v>
      </c>
      <c r="I17" s="14" t="s">
        <v>151</v>
      </c>
      <c r="J17" s="14" t="s">
        <v>152</v>
      </c>
      <c r="K17" s="14" t="s">
        <v>153</v>
      </c>
      <c r="L17" s="14" t="s">
        <v>154</v>
      </c>
    </row>
    <row r="18" spans="2:12" x14ac:dyDescent="0.25">
      <c r="B18" s="21" t="s">
        <v>155</v>
      </c>
      <c r="C18" s="5"/>
      <c r="D18" s="5"/>
      <c r="E18" s="14">
        <v>2</v>
      </c>
      <c r="F18" s="15">
        <v>2</v>
      </c>
      <c r="G18" s="14" t="s">
        <v>149</v>
      </c>
      <c r="H18" s="14" t="s">
        <v>150</v>
      </c>
      <c r="I18" s="14" t="s">
        <v>156</v>
      </c>
      <c r="J18" s="14" t="s">
        <v>157</v>
      </c>
      <c r="K18" s="14" t="s">
        <v>158</v>
      </c>
      <c r="L18" s="14" t="s">
        <v>159</v>
      </c>
    </row>
    <row r="19" spans="2:12" x14ac:dyDescent="0.25">
      <c r="B19" s="21" t="s">
        <v>160</v>
      </c>
      <c r="C19" s="5"/>
      <c r="D19" s="5"/>
      <c r="E19" s="14">
        <v>2</v>
      </c>
      <c r="F19" s="15">
        <v>2</v>
      </c>
      <c r="G19" s="14" t="s">
        <v>149</v>
      </c>
      <c r="H19" s="14" t="s">
        <v>150</v>
      </c>
      <c r="I19" s="14" t="s">
        <v>161</v>
      </c>
      <c r="J19" s="14" t="s">
        <v>162</v>
      </c>
      <c r="K19" s="14" t="s">
        <v>163</v>
      </c>
      <c r="L19" s="14" t="s">
        <v>164</v>
      </c>
    </row>
    <row r="20" spans="2:12" x14ac:dyDescent="0.25">
      <c r="B20" s="21" t="s">
        <v>165</v>
      </c>
      <c r="C20" s="5"/>
      <c r="D20" s="5"/>
      <c r="E20" s="14">
        <v>2</v>
      </c>
      <c r="F20" s="15">
        <v>2</v>
      </c>
      <c r="G20" s="14" t="s">
        <v>149</v>
      </c>
      <c r="H20" s="14" t="s">
        <v>150</v>
      </c>
      <c r="I20" s="14" t="s">
        <v>166</v>
      </c>
      <c r="J20" s="14" t="s">
        <v>167</v>
      </c>
      <c r="K20" s="14" t="s">
        <v>168</v>
      </c>
      <c r="L20" s="14" t="s">
        <v>169</v>
      </c>
    </row>
    <row r="21" spans="2:12" x14ac:dyDescent="0.25">
      <c r="D21" s="21" t="s">
        <v>170</v>
      </c>
      <c r="E21" s="28">
        <f>SUM(E8:E20)</f>
        <v>460</v>
      </c>
      <c r="F21" s="28">
        <f>SUM(F8:F20)</f>
        <v>583</v>
      </c>
    </row>
    <row r="23" spans="2:12" ht="30" x14ac:dyDescent="0.25">
      <c r="B23" s="24" t="s">
        <v>76</v>
      </c>
      <c r="C23" s="24" t="s">
        <v>171</v>
      </c>
      <c r="D23" s="24" t="s">
        <v>172</v>
      </c>
    </row>
    <row r="24" spans="2:12" x14ac:dyDescent="0.25">
      <c r="B24" s="5" t="s">
        <v>85</v>
      </c>
      <c r="C24" s="5">
        <v>238</v>
      </c>
      <c r="D24" s="5">
        <v>10</v>
      </c>
    </row>
    <row r="25" spans="2:12" x14ac:dyDescent="0.25">
      <c r="B25" s="5" t="s">
        <v>92</v>
      </c>
      <c r="C25" s="5">
        <v>120</v>
      </c>
      <c r="D25" s="5">
        <v>5</v>
      </c>
      <c r="F25" s="23"/>
    </row>
    <row r="26" spans="2:12" x14ac:dyDescent="0.25">
      <c r="B26" s="5" t="s">
        <v>100</v>
      </c>
      <c r="C26" s="5">
        <v>50</v>
      </c>
      <c r="D26" s="5">
        <v>3</v>
      </c>
    </row>
    <row r="27" spans="2:12" x14ac:dyDescent="0.25">
      <c r="B27" s="5" t="s">
        <v>108</v>
      </c>
      <c r="C27" s="5">
        <v>38</v>
      </c>
      <c r="D27" s="5">
        <v>2</v>
      </c>
    </row>
    <row r="28" spans="2:12" x14ac:dyDescent="0.25">
      <c r="B28" s="5" t="s">
        <v>114</v>
      </c>
      <c r="C28" s="5">
        <v>35</v>
      </c>
      <c r="D28" s="5">
        <v>2</v>
      </c>
    </row>
    <row r="29" spans="2:12" x14ac:dyDescent="0.25">
      <c r="B29" s="5" t="s">
        <v>120</v>
      </c>
      <c r="C29" s="5">
        <v>30</v>
      </c>
      <c r="D29" s="5">
        <v>2</v>
      </c>
    </row>
    <row r="30" spans="2:12" x14ac:dyDescent="0.25">
      <c r="B30" s="5" t="s">
        <v>134</v>
      </c>
      <c r="C30" s="5">
        <v>22</v>
      </c>
      <c r="D30" s="5">
        <v>1</v>
      </c>
    </row>
    <row r="31" spans="2:12" x14ac:dyDescent="0.25">
      <c r="B31" s="5" t="s">
        <v>140</v>
      </c>
      <c r="C31" s="5">
        <v>12</v>
      </c>
      <c r="D31" s="5">
        <v>1</v>
      </c>
    </row>
    <row r="32" spans="2:12" x14ac:dyDescent="0.25">
      <c r="B32" s="21" t="s">
        <v>173</v>
      </c>
      <c r="C32" s="21">
        <v>545</v>
      </c>
      <c r="D32" s="21">
        <v>26</v>
      </c>
    </row>
    <row r="34" spans="2:3" ht="30" x14ac:dyDescent="0.25">
      <c r="B34" s="33" t="s">
        <v>174</v>
      </c>
      <c r="C34" s="24" t="s">
        <v>175</v>
      </c>
    </row>
    <row r="35" spans="2:3" x14ac:dyDescent="0.25">
      <c r="B35" s="5" t="s">
        <v>172</v>
      </c>
      <c r="C35" s="5">
        <f>D32</f>
        <v>26</v>
      </c>
    </row>
    <row r="36" spans="2:3" ht="30" x14ac:dyDescent="0.25">
      <c r="B36" s="25" t="s">
        <v>176</v>
      </c>
      <c r="C36" s="32">
        <v>4</v>
      </c>
    </row>
    <row r="37" spans="2:3" x14ac:dyDescent="0.25">
      <c r="B37" s="21" t="s">
        <v>173</v>
      </c>
      <c r="C37" s="21">
        <v>30</v>
      </c>
    </row>
  </sheetData>
  <sortState xmlns:xlrd2="http://schemas.microsoft.com/office/spreadsheetml/2017/richdata2" ref="B8:L25">
    <sortCondition ref="H8:H25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1850-C2A2-4E86-9154-7E388162901E}">
  <dimension ref="B3:L34"/>
  <sheetViews>
    <sheetView zoomScale="73" workbookViewId="0">
      <selection activeCell="A11" sqref="A11:XFD11"/>
    </sheetView>
  </sheetViews>
  <sheetFormatPr baseColWidth="10" defaultColWidth="8.7109375" defaultRowHeight="15" x14ac:dyDescent="0.25"/>
  <cols>
    <col min="2" max="2" width="17.85546875" customWidth="1"/>
    <col min="3" max="3" width="16.85546875" customWidth="1"/>
    <col min="4" max="4" width="18.28515625" customWidth="1"/>
    <col min="5" max="12" width="17.85546875" customWidth="1"/>
  </cols>
  <sheetData>
    <row r="3" spans="2:12" ht="30" x14ac:dyDescent="0.25">
      <c r="B3" s="6" t="s">
        <v>70</v>
      </c>
      <c r="C3" s="6"/>
      <c r="D3" s="20" t="s">
        <v>177</v>
      </c>
    </row>
    <row r="4" spans="2:12" x14ac:dyDescent="0.25">
      <c r="B4" s="6" t="s">
        <v>72</v>
      </c>
      <c r="C4" s="6"/>
      <c r="D4" s="7" t="s">
        <v>178</v>
      </c>
    </row>
    <row r="5" spans="2:12" x14ac:dyDescent="0.25">
      <c r="B5" s="6" t="s">
        <v>74</v>
      </c>
      <c r="C5" s="6"/>
      <c r="D5" s="7" t="s">
        <v>179</v>
      </c>
    </row>
    <row r="6" spans="2:12" x14ac:dyDescent="0.25">
      <c r="B6" s="13"/>
    </row>
    <row r="7" spans="2:12" ht="30" x14ac:dyDescent="0.25">
      <c r="B7" s="47" t="s">
        <v>76</v>
      </c>
      <c r="C7" s="47" t="s">
        <v>77</v>
      </c>
      <c r="D7" s="47" t="s">
        <v>78</v>
      </c>
      <c r="E7" s="47" t="s">
        <v>79</v>
      </c>
      <c r="F7" s="47" t="s">
        <v>80</v>
      </c>
      <c r="G7" s="47" t="s">
        <v>12</v>
      </c>
      <c r="H7" s="47" t="s">
        <v>81</v>
      </c>
      <c r="I7" s="47" t="s">
        <v>11</v>
      </c>
      <c r="J7" s="47" t="s">
        <v>82</v>
      </c>
      <c r="K7" s="47" t="s">
        <v>83</v>
      </c>
      <c r="L7" s="47" t="s">
        <v>84</v>
      </c>
    </row>
    <row r="8" spans="2:12" x14ac:dyDescent="0.25">
      <c r="B8" s="28" t="s">
        <v>85</v>
      </c>
      <c r="C8" s="3" t="s">
        <v>86</v>
      </c>
      <c r="D8" s="3">
        <v>10</v>
      </c>
      <c r="E8" s="14">
        <v>79</v>
      </c>
      <c r="F8" s="15">
        <v>95</v>
      </c>
      <c r="G8" s="39" t="s">
        <v>94</v>
      </c>
      <c r="H8" s="14" t="s">
        <v>95</v>
      </c>
      <c r="I8" s="3" t="s">
        <v>57</v>
      </c>
      <c r="J8" s="3" t="s">
        <v>180</v>
      </c>
      <c r="K8" s="19" t="s">
        <v>181</v>
      </c>
      <c r="L8" s="3" t="s">
        <v>182</v>
      </c>
    </row>
    <row r="9" spans="2:12" x14ac:dyDescent="0.25">
      <c r="B9" s="28" t="s">
        <v>92</v>
      </c>
      <c r="C9" s="3" t="s">
        <v>93</v>
      </c>
      <c r="D9" s="3">
        <v>20</v>
      </c>
      <c r="E9" s="14">
        <v>39</v>
      </c>
      <c r="F9" s="15">
        <v>47</v>
      </c>
      <c r="G9" s="39" t="s">
        <v>102</v>
      </c>
      <c r="H9" s="14" t="s">
        <v>103</v>
      </c>
      <c r="I9" s="3" t="s">
        <v>183</v>
      </c>
      <c r="J9" s="3" t="s">
        <v>184</v>
      </c>
      <c r="K9" s="18" t="s">
        <v>185</v>
      </c>
      <c r="L9" s="3" t="s">
        <v>186</v>
      </c>
    </row>
    <row r="10" spans="2:12" x14ac:dyDescent="0.25">
      <c r="B10" s="28" t="s">
        <v>100</v>
      </c>
      <c r="C10" s="3" t="s">
        <v>101</v>
      </c>
      <c r="D10" s="3">
        <v>30</v>
      </c>
      <c r="E10" s="14">
        <v>16</v>
      </c>
      <c r="F10" s="15">
        <v>20</v>
      </c>
      <c r="G10" s="39" t="s">
        <v>122</v>
      </c>
      <c r="H10" s="14" t="s">
        <v>123</v>
      </c>
      <c r="I10" s="3" t="s">
        <v>187</v>
      </c>
      <c r="J10" s="3" t="s">
        <v>188</v>
      </c>
      <c r="K10" s="18" t="s">
        <v>189</v>
      </c>
      <c r="L10" s="3" t="s">
        <v>190</v>
      </c>
    </row>
    <row r="11" spans="2:12" x14ac:dyDescent="0.25">
      <c r="B11" s="48" t="s">
        <v>128</v>
      </c>
      <c r="C11" s="40" t="s">
        <v>129</v>
      </c>
      <c r="D11" s="40">
        <v>99</v>
      </c>
      <c r="E11" s="37"/>
      <c r="F11" s="38">
        <v>16</v>
      </c>
      <c r="G11" s="39" t="s">
        <v>122</v>
      </c>
      <c r="H11" s="39" t="s">
        <v>123</v>
      </c>
      <c r="I11" s="40" t="s">
        <v>191</v>
      </c>
      <c r="J11" s="40" t="s">
        <v>192</v>
      </c>
      <c r="K11" s="40" t="s">
        <v>193</v>
      </c>
      <c r="L11" s="40" t="s">
        <v>194</v>
      </c>
    </row>
    <row r="12" spans="2:12" x14ac:dyDescent="0.25">
      <c r="B12" s="48" t="s">
        <v>108</v>
      </c>
      <c r="C12" s="40" t="s">
        <v>109</v>
      </c>
      <c r="D12" s="40">
        <v>40</v>
      </c>
      <c r="E12" s="39">
        <v>12</v>
      </c>
      <c r="F12" s="38">
        <v>15</v>
      </c>
      <c r="G12" s="39" t="s">
        <v>122</v>
      </c>
      <c r="H12" s="39" t="s">
        <v>123</v>
      </c>
      <c r="I12" s="40" t="s">
        <v>195</v>
      </c>
      <c r="J12" s="40" t="s">
        <v>196</v>
      </c>
      <c r="K12" s="40" t="s">
        <v>197</v>
      </c>
      <c r="L12" s="40" t="s">
        <v>198</v>
      </c>
    </row>
    <row r="13" spans="2:12" x14ac:dyDescent="0.25">
      <c r="B13" s="48" t="s">
        <v>114</v>
      </c>
      <c r="C13" s="40" t="s">
        <v>115</v>
      </c>
      <c r="D13" s="40">
        <v>50</v>
      </c>
      <c r="E13" s="39">
        <v>12</v>
      </c>
      <c r="F13" s="38">
        <v>15</v>
      </c>
      <c r="G13" s="39" t="s">
        <v>122</v>
      </c>
      <c r="H13" s="39" t="s">
        <v>123</v>
      </c>
      <c r="I13" s="40" t="s">
        <v>199</v>
      </c>
      <c r="J13" s="40" t="s">
        <v>200</v>
      </c>
      <c r="K13" s="40" t="s">
        <v>201</v>
      </c>
      <c r="L13" s="40" t="s">
        <v>202</v>
      </c>
    </row>
    <row r="14" spans="2:12" x14ac:dyDescent="0.25">
      <c r="B14" s="48" t="s">
        <v>120</v>
      </c>
      <c r="C14" s="40" t="s">
        <v>121</v>
      </c>
      <c r="D14" s="40">
        <v>60</v>
      </c>
      <c r="E14" s="39">
        <v>10</v>
      </c>
      <c r="F14" s="38">
        <v>12</v>
      </c>
      <c r="G14" s="39" t="s">
        <v>142</v>
      </c>
      <c r="H14" s="39" t="s">
        <v>143</v>
      </c>
      <c r="I14" s="40" t="s">
        <v>203</v>
      </c>
      <c r="J14" s="40" t="s">
        <v>204</v>
      </c>
      <c r="K14" s="40" t="s">
        <v>205</v>
      </c>
      <c r="L14" s="40" t="s">
        <v>206</v>
      </c>
    </row>
    <row r="15" spans="2:12" x14ac:dyDescent="0.25">
      <c r="B15" s="48" t="s">
        <v>134</v>
      </c>
      <c r="C15" s="40" t="s">
        <v>135</v>
      </c>
      <c r="D15" s="40">
        <v>70</v>
      </c>
      <c r="E15" s="39">
        <v>7</v>
      </c>
      <c r="F15" s="38">
        <v>9</v>
      </c>
      <c r="G15" s="39" t="s">
        <v>142</v>
      </c>
      <c r="H15" s="39" t="s">
        <v>143</v>
      </c>
      <c r="I15" s="40" t="s">
        <v>207</v>
      </c>
      <c r="J15" s="40" t="s">
        <v>208</v>
      </c>
      <c r="K15" s="40" t="s">
        <v>209</v>
      </c>
      <c r="L15" s="40" t="s">
        <v>210</v>
      </c>
    </row>
    <row r="16" spans="2:12" x14ac:dyDescent="0.25">
      <c r="B16" s="48" t="s">
        <v>140</v>
      </c>
      <c r="C16" s="40" t="s">
        <v>141</v>
      </c>
      <c r="D16" s="40">
        <v>80</v>
      </c>
      <c r="E16" s="39">
        <v>5</v>
      </c>
      <c r="F16" s="38">
        <v>6</v>
      </c>
      <c r="G16" s="39" t="s">
        <v>211</v>
      </c>
      <c r="H16" s="39" t="s">
        <v>212</v>
      </c>
      <c r="I16" s="40" t="s">
        <v>213</v>
      </c>
      <c r="J16" s="40" t="s">
        <v>214</v>
      </c>
      <c r="K16" s="40" t="s">
        <v>215</v>
      </c>
      <c r="L16" s="40" t="s">
        <v>216</v>
      </c>
    </row>
    <row r="17" spans="2:12" x14ac:dyDescent="0.25">
      <c r="B17" s="48" t="s">
        <v>217</v>
      </c>
      <c r="C17" s="40"/>
      <c r="D17" s="40"/>
      <c r="E17" s="39">
        <v>2</v>
      </c>
      <c r="F17" s="38">
        <v>2</v>
      </c>
      <c r="G17" s="39" t="s">
        <v>149</v>
      </c>
      <c r="H17" s="39" t="s">
        <v>150</v>
      </c>
      <c r="I17" s="40" t="s">
        <v>218</v>
      </c>
      <c r="J17" s="40" t="s">
        <v>219</v>
      </c>
      <c r="K17" s="40" t="s">
        <v>220</v>
      </c>
      <c r="L17" s="40" t="s">
        <v>221</v>
      </c>
    </row>
    <row r="18" spans="2:12" x14ac:dyDescent="0.25">
      <c r="B18" s="41"/>
      <c r="C18" s="41"/>
      <c r="D18" s="48" t="s">
        <v>170</v>
      </c>
      <c r="E18" s="42">
        <f>SUM(E8:E17)</f>
        <v>182</v>
      </c>
      <c r="F18" s="42">
        <f>SUM(F8:F17)</f>
        <v>237</v>
      </c>
    </row>
    <row r="20" spans="2:12" ht="45" x14ac:dyDescent="0.25">
      <c r="B20" s="24" t="s">
        <v>76</v>
      </c>
      <c r="C20" s="24" t="s">
        <v>171</v>
      </c>
      <c r="D20" s="24" t="s">
        <v>172</v>
      </c>
    </row>
    <row r="21" spans="2:12" x14ac:dyDescent="0.25">
      <c r="B21" s="5" t="s">
        <v>85</v>
      </c>
      <c r="C21" s="30">
        <v>95</v>
      </c>
      <c r="D21" s="5">
        <v>4</v>
      </c>
    </row>
    <row r="22" spans="2:12" x14ac:dyDescent="0.25">
      <c r="B22" s="5" t="s">
        <v>92</v>
      </c>
      <c r="C22" s="30">
        <v>47</v>
      </c>
      <c r="D22" s="5">
        <v>2</v>
      </c>
    </row>
    <row r="23" spans="2:12" x14ac:dyDescent="0.25">
      <c r="B23" s="5" t="s">
        <v>100</v>
      </c>
      <c r="C23" s="30">
        <v>20</v>
      </c>
      <c r="D23" s="5">
        <v>1</v>
      </c>
    </row>
    <row r="24" spans="2:12" x14ac:dyDescent="0.25">
      <c r="B24" s="5" t="s">
        <v>108</v>
      </c>
      <c r="C24" s="30">
        <v>15</v>
      </c>
      <c r="D24" s="5">
        <v>1</v>
      </c>
    </row>
    <row r="25" spans="2:12" x14ac:dyDescent="0.25">
      <c r="B25" s="5" t="s">
        <v>114</v>
      </c>
      <c r="C25" s="30">
        <v>15</v>
      </c>
      <c r="D25" s="5">
        <v>1</v>
      </c>
    </row>
    <row r="26" spans="2:12" x14ac:dyDescent="0.25">
      <c r="B26" s="5" t="s">
        <v>120</v>
      </c>
      <c r="C26" s="30">
        <v>12</v>
      </c>
      <c r="D26" s="5">
        <v>1</v>
      </c>
    </row>
    <row r="27" spans="2:12" x14ac:dyDescent="0.25">
      <c r="B27" s="5" t="s">
        <v>134</v>
      </c>
      <c r="C27" s="30">
        <v>9</v>
      </c>
      <c r="D27" s="5">
        <v>1</v>
      </c>
    </row>
    <row r="28" spans="2:12" x14ac:dyDescent="0.25">
      <c r="B28" s="5" t="s">
        <v>140</v>
      </c>
      <c r="C28" s="30">
        <v>6</v>
      </c>
      <c r="D28" s="5">
        <v>1</v>
      </c>
    </row>
    <row r="29" spans="2:12" x14ac:dyDescent="0.25">
      <c r="B29" s="21" t="s">
        <v>173</v>
      </c>
      <c r="C29" s="31">
        <f>SUM(C21:C28)</f>
        <v>219</v>
      </c>
      <c r="D29" s="21">
        <f>SUM(D21:D28)</f>
        <v>12</v>
      </c>
    </row>
    <row r="31" spans="2:12" ht="45" x14ac:dyDescent="0.25">
      <c r="B31" s="33" t="s">
        <v>174</v>
      </c>
      <c r="C31" s="24" t="s">
        <v>175</v>
      </c>
    </row>
    <row r="32" spans="2:12" x14ac:dyDescent="0.25">
      <c r="B32" s="5" t="s">
        <v>172</v>
      </c>
      <c r="C32" s="5">
        <f>D29</f>
        <v>12</v>
      </c>
    </row>
    <row r="33" spans="2:3" ht="45" x14ac:dyDescent="0.25">
      <c r="B33" s="25" t="s">
        <v>176</v>
      </c>
      <c r="C33" s="32">
        <v>4</v>
      </c>
    </row>
    <row r="34" spans="2:3" x14ac:dyDescent="0.25">
      <c r="B34" s="21" t="s">
        <v>173</v>
      </c>
      <c r="C34" s="21">
        <f>SUM(C32:C33)</f>
        <v>16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2395-1539-4F81-AB51-76067391CE78}">
  <dimension ref="B3:L34"/>
  <sheetViews>
    <sheetView topLeftCell="B9" zoomScale="73" workbookViewId="0">
      <selection activeCell="D3" sqref="D3"/>
    </sheetView>
  </sheetViews>
  <sheetFormatPr baseColWidth="10" defaultColWidth="8.7109375" defaultRowHeight="15" x14ac:dyDescent="0.25"/>
  <cols>
    <col min="2" max="3" width="17.85546875" customWidth="1"/>
    <col min="4" max="4" width="15" customWidth="1"/>
    <col min="5" max="12" width="17.85546875" customWidth="1"/>
  </cols>
  <sheetData>
    <row r="3" spans="2:12" ht="30" x14ac:dyDescent="0.25">
      <c r="B3" s="27" t="s">
        <v>70</v>
      </c>
      <c r="C3" s="27"/>
      <c r="D3" s="20" t="s">
        <v>222</v>
      </c>
    </row>
    <row r="4" spans="2:12" x14ac:dyDescent="0.25">
      <c r="B4" s="27" t="s">
        <v>72</v>
      </c>
      <c r="C4" s="27"/>
      <c r="D4" s="7" t="s">
        <v>223</v>
      </c>
    </row>
    <row r="5" spans="2:12" x14ac:dyDescent="0.25">
      <c r="B5" s="27" t="s">
        <v>74</v>
      </c>
      <c r="C5" s="27"/>
      <c r="D5" s="7" t="s">
        <v>224</v>
      </c>
    </row>
    <row r="6" spans="2:12" x14ac:dyDescent="0.25">
      <c r="B6" s="13"/>
    </row>
    <row r="7" spans="2:12" ht="30" x14ac:dyDescent="0.25">
      <c r="B7" s="47" t="s">
        <v>76</v>
      </c>
      <c r="C7" s="47" t="s">
        <v>77</v>
      </c>
      <c r="D7" s="47" t="s">
        <v>78</v>
      </c>
      <c r="E7" s="47" t="s">
        <v>79</v>
      </c>
      <c r="F7" s="47" t="s">
        <v>80</v>
      </c>
      <c r="G7" s="47" t="s">
        <v>12</v>
      </c>
      <c r="H7" s="47" t="s">
        <v>81</v>
      </c>
      <c r="I7" s="47" t="s">
        <v>11</v>
      </c>
      <c r="J7" s="47" t="s">
        <v>82</v>
      </c>
      <c r="K7" s="47" t="s">
        <v>83</v>
      </c>
      <c r="L7" s="47" t="s">
        <v>84</v>
      </c>
    </row>
    <row r="8" spans="2:12" x14ac:dyDescent="0.25">
      <c r="B8" s="51" t="s">
        <v>85</v>
      </c>
      <c r="C8" s="43" t="s">
        <v>86</v>
      </c>
      <c r="D8" s="43">
        <v>10</v>
      </c>
      <c r="E8" s="43">
        <v>54</v>
      </c>
      <c r="F8" s="43">
        <v>65</v>
      </c>
      <c r="G8" s="44" t="s">
        <v>94</v>
      </c>
      <c r="H8" s="44" t="s">
        <v>95</v>
      </c>
      <c r="I8" s="44" t="s">
        <v>60</v>
      </c>
      <c r="J8" s="44" t="s">
        <v>225</v>
      </c>
      <c r="K8" s="44" t="s">
        <v>226</v>
      </c>
      <c r="L8" s="44" t="s">
        <v>227</v>
      </c>
    </row>
    <row r="9" spans="2:12" x14ac:dyDescent="0.25">
      <c r="B9" s="52" t="s">
        <v>92</v>
      </c>
      <c r="C9" s="45" t="s">
        <v>93</v>
      </c>
      <c r="D9" s="45">
        <v>20</v>
      </c>
      <c r="E9" s="45">
        <v>27</v>
      </c>
      <c r="F9" s="45">
        <v>33</v>
      </c>
      <c r="G9" s="46" t="s">
        <v>102</v>
      </c>
      <c r="H9" s="46" t="s">
        <v>103</v>
      </c>
      <c r="I9" s="46" t="s">
        <v>228</v>
      </c>
      <c r="J9" s="46" t="s">
        <v>229</v>
      </c>
      <c r="K9" s="46" t="s">
        <v>230</v>
      </c>
      <c r="L9" s="46" t="s">
        <v>231</v>
      </c>
    </row>
    <row r="10" spans="2:12" x14ac:dyDescent="0.25">
      <c r="B10" s="52" t="s">
        <v>100</v>
      </c>
      <c r="C10" s="45" t="s">
        <v>101</v>
      </c>
      <c r="D10" s="45">
        <v>30</v>
      </c>
      <c r="E10" s="45">
        <v>11</v>
      </c>
      <c r="F10" s="45">
        <v>14</v>
      </c>
      <c r="G10" s="46" t="s">
        <v>142</v>
      </c>
      <c r="H10" s="46" t="s">
        <v>143</v>
      </c>
      <c r="I10" s="46" t="s">
        <v>232</v>
      </c>
      <c r="J10" s="46" t="s">
        <v>233</v>
      </c>
      <c r="K10" s="46" t="s">
        <v>234</v>
      </c>
      <c r="L10" s="46" t="s">
        <v>235</v>
      </c>
    </row>
    <row r="11" spans="2:12" x14ac:dyDescent="0.25">
      <c r="B11" s="52" t="s">
        <v>128</v>
      </c>
      <c r="C11" s="45" t="s">
        <v>129</v>
      </c>
      <c r="D11" s="45">
        <v>99</v>
      </c>
      <c r="E11" s="45"/>
      <c r="F11" s="45">
        <v>14</v>
      </c>
      <c r="G11" s="46" t="s">
        <v>142</v>
      </c>
      <c r="H11" s="46" t="s">
        <v>143</v>
      </c>
      <c r="I11" s="46" t="s">
        <v>236</v>
      </c>
      <c r="J11" s="46" t="s">
        <v>237</v>
      </c>
      <c r="K11" s="46" t="s">
        <v>238</v>
      </c>
      <c r="L11" s="46" t="s">
        <v>239</v>
      </c>
    </row>
    <row r="12" spans="2:12" x14ac:dyDescent="0.25">
      <c r="B12" s="52" t="s">
        <v>108</v>
      </c>
      <c r="C12" s="45" t="s">
        <v>109</v>
      </c>
      <c r="D12" s="45">
        <v>40</v>
      </c>
      <c r="E12" s="45">
        <v>9</v>
      </c>
      <c r="F12" s="45">
        <v>11</v>
      </c>
      <c r="G12" s="46" t="s">
        <v>142</v>
      </c>
      <c r="H12" s="46" t="s">
        <v>143</v>
      </c>
      <c r="I12" s="46" t="s">
        <v>240</v>
      </c>
      <c r="J12" s="46" t="s">
        <v>241</v>
      </c>
      <c r="K12" s="46" t="s">
        <v>242</v>
      </c>
      <c r="L12" s="46" t="s">
        <v>243</v>
      </c>
    </row>
    <row r="13" spans="2:12" x14ac:dyDescent="0.25">
      <c r="B13" s="52" t="s">
        <v>114</v>
      </c>
      <c r="C13" s="45" t="s">
        <v>115</v>
      </c>
      <c r="D13" s="45">
        <v>50</v>
      </c>
      <c r="E13" s="45">
        <v>8</v>
      </c>
      <c r="F13" s="45">
        <v>10</v>
      </c>
      <c r="G13" s="46" t="s">
        <v>142</v>
      </c>
      <c r="H13" s="46" t="s">
        <v>143</v>
      </c>
      <c r="I13" s="46" t="s">
        <v>244</v>
      </c>
      <c r="J13" s="46" t="s">
        <v>245</v>
      </c>
      <c r="K13" s="46" t="s">
        <v>246</v>
      </c>
      <c r="L13" s="46" t="s">
        <v>247</v>
      </c>
    </row>
    <row r="14" spans="2:12" x14ac:dyDescent="0.25">
      <c r="B14" s="52" t="s">
        <v>120</v>
      </c>
      <c r="C14" s="45" t="s">
        <v>121</v>
      </c>
      <c r="D14" s="45">
        <v>60</v>
      </c>
      <c r="E14" s="45">
        <v>7</v>
      </c>
      <c r="F14" s="45">
        <v>9</v>
      </c>
      <c r="G14" s="46" t="s">
        <v>142</v>
      </c>
      <c r="H14" s="46" t="s">
        <v>143</v>
      </c>
      <c r="I14" s="46" t="s">
        <v>248</v>
      </c>
      <c r="J14" s="46" t="s">
        <v>249</v>
      </c>
      <c r="K14" s="46" t="s">
        <v>250</v>
      </c>
      <c r="L14" s="46" t="s">
        <v>251</v>
      </c>
    </row>
    <row r="15" spans="2:12" x14ac:dyDescent="0.25">
      <c r="B15" s="52" t="s">
        <v>134</v>
      </c>
      <c r="C15" s="45" t="s">
        <v>135</v>
      </c>
      <c r="D15" s="45">
        <v>70</v>
      </c>
      <c r="E15" s="45">
        <v>5</v>
      </c>
      <c r="F15" s="45">
        <v>6</v>
      </c>
      <c r="G15" s="46" t="s">
        <v>211</v>
      </c>
      <c r="H15" s="46" t="s">
        <v>212</v>
      </c>
      <c r="I15" s="46" t="s">
        <v>252</v>
      </c>
      <c r="J15" s="46" t="s">
        <v>253</v>
      </c>
      <c r="K15" s="46" t="s">
        <v>254</v>
      </c>
      <c r="L15" s="46" t="s">
        <v>255</v>
      </c>
    </row>
    <row r="16" spans="2:12" x14ac:dyDescent="0.25">
      <c r="B16" s="52" t="s">
        <v>140</v>
      </c>
      <c r="C16" s="45" t="s">
        <v>141</v>
      </c>
      <c r="D16" s="45">
        <v>80</v>
      </c>
      <c r="E16" s="45">
        <v>3</v>
      </c>
      <c r="F16" s="45">
        <v>4</v>
      </c>
      <c r="G16" s="46" t="s">
        <v>211</v>
      </c>
      <c r="H16" s="46" t="s">
        <v>212</v>
      </c>
      <c r="I16" s="46" t="s">
        <v>256</v>
      </c>
      <c r="J16" s="46" t="s">
        <v>257</v>
      </c>
      <c r="K16" s="46" t="s">
        <v>258</v>
      </c>
      <c r="L16" s="46" t="s">
        <v>259</v>
      </c>
    </row>
    <row r="17" spans="2:12" x14ac:dyDescent="0.25">
      <c r="B17" s="52" t="s">
        <v>260</v>
      </c>
      <c r="C17" s="45" t="s">
        <v>261</v>
      </c>
      <c r="D17" s="45" t="s">
        <v>261</v>
      </c>
      <c r="E17" s="45">
        <v>2</v>
      </c>
      <c r="F17" s="45">
        <v>2</v>
      </c>
      <c r="G17" s="46" t="s">
        <v>149</v>
      </c>
      <c r="H17" s="46" t="s">
        <v>150</v>
      </c>
      <c r="I17" s="46" t="s">
        <v>262</v>
      </c>
      <c r="J17" s="46" t="s">
        <v>263</v>
      </c>
      <c r="K17" s="46" t="s">
        <v>264</v>
      </c>
      <c r="L17" s="46" t="s">
        <v>265</v>
      </c>
    </row>
    <row r="18" spans="2:12" x14ac:dyDescent="0.25">
      <c r="D18" s="21" t="s">
        <v>170</v>
      </c>
      <c r="E18" s="28">
        <f>SUM(E8:E17)</f>
        <v>126</v>
      </c>
      <c r="F18" s="29">
        <f>SUM(F8:F17)</f>
        <v>168</v>
      </c>
    </row>
    <row r="20" spans="2:12" ht="30" x14ac:dyDescent="0.25">
      <c r="B20" s="24" t="s">
        <v>76</v>
      </c>
      <c r="C20" s="24" t="s">
        <v>171</v>
      </c>
      <c r="D20" s="24" t="s">
        <v>172</v>
      </c>
    </row>
    <row r="21" spans="2:12" x14ac:dyDescent="0.25">
      <c r="B21" s="5" t="s">
        <v>85</v>
      </c>
      <c r="C21" s="15">
        <v>65</v>
      </c>
      <c r="D21" s="3">
        <v>1</v>
      </c>
    </row>
    <row r="22" spans="2:12" x14ac:dyDescent="0.25">
      <c r="B22" s="5" t="s">
        <v>92</v>
      </c>
      <c r="C22" s="15">
        <v>33</v>
      </c>
      <c r="D22" s="3">
        <v>1</v>
      </c>
    </row>
    <row r="23" spans="2:12" x14ac:dyDescent="0.25">
      <c r="B23" s="5" t="s">
        <v>100</v>
      </c>
      <c r="C23" s="15">
        <v>14</v>
      </c>
      <c r="D23" s="3">
        <v>1</v>
      </c>
    </row>
    <row r="24" spans="2:12" x14ac:dyDescent="0.25">
      <c r="B24" s="5" t="s">
        <v>114</v>
      </c>
      <c r="C24" s="15">
        <v>10</v>
      </c>
      <c r="D24" s="54">
        <v>1</v>
      </c>
    </row>
    <row r="25" spans="2:12" x14ac:dyDescent="0.25">
      <c r="B25" s="5" t="s">
        <v>120</v>
      </c>
      <c r="C25" s="15">
        <v>9</v>
      </c>
      <c r="D25" s="55"/>
    </row>
    <row r="26" spans="2:12" x14ac:dyDescent="0.25">
      <c r="B26" s="5" t="s">
        <v>108</v>
      </c>
      <c r="C26" s="15">
        <v>11</v>
      </c>
      <c r="D26" s="54">
        <v>1</v>
      </c>
    </row>
    <row r="27" spans="2:12" x14ac:dyDescent="0.25">
      <c r="B27" s="5" t="s">
        <v>134</v>
      </c>
      <c r="C27" s="15">
        <v>6</v>
      </c>
      <c r="D27" s="55"/>
    </row>
    <row r="28" spans="2:12" x14ac:dyDescent="0.25">
      <c r="B28" s="5" t="s">
        <v>140</v>
      </c>
      <c r="C28" s="15">
        <v>4</v>
      </c>
      <c r="D28" s="3">
        <v>1</v>
      </c>
    </row>
    <row r="29" spans="2:12" x14ac:dyDescent="0.25">
      <c r="B29" s="21" t="s">
        <v>173</v>
      </c>
      <c r="C29" s="29">
        <f>SUM(C21:C28)</f>
        <v>152</v>
      </c>
      <c r="D29" s="28">
        <f>SUM(D21:D28)</f>
        <v>6</v>
      </c>
    </row>
    <row r="31" spans="2:12" ht="30" x14ac:dyDescent="0.25">
      <c r="B31" s="33" t="s">
        <v>174</v>
      </c>
      <c r="C31" s="24" t="s">
        <v>175</v>
      </c>
    </row>
    <row r="32" spans="2:12" x14ac:dyDescent="0.25">
      <c r="B32" s="5" t="s">
        <v>172</v>
      </c>
      <c r="C32" s="5">
        <f>D29</f>
        <v>6</v>
      </c>
    </row>
    <row r="33" spans="2:3" ht="45" x14ac:dyDescent="0.25">
      <c r="B33" s="25" t="s">
        <v>176</v>
      </c>
      <c r="C33" s="34">
        <v>4</v>
      </c>
    </row>
    <row r="34" spans="2:3" x14ac:dyDescent="0.25">
      <c r="B34" s="21" t="s">
        <v>173</v>
      </c>
      <c r="C34" s="21">
        <f>SUM(C32:C33)</f>
        <v>10</v>
      </c>
    </row>
  </sheetData>
  <mergeCells count="2">
    <mergeCell ref="D26:D27"/>
    <mergeCell ref="D24:D25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9438-2D6C-493A-A67C-5AD8E2F60C04}">
  <dimension ref="B3:L34"/>
  <sheetViews>
    <sheetView topLeftCell="B1" zoomScale="75" workbookViewId="0">
      <selection activeCell="L21" sqref="L21"/>
    </sheetView>
  </sheetViews>
  <sheetFormatPr baseColWidth="10" defaultColWidth="8.7109375" defaultRowHeight="15" x14ac:dyDescent="0.25"/>
  <cols>
    <col min="2" max="12" width="17.5703125" customWidth="1"/>
  </cols>
  <sheetData>
    <row r="3" spans="2:12" ht="30" x14ac:dyDescent="0.25">
      <c r="B3" s="26" t="s">
        <v>70</v>
      </c>
      <c r="C3" s="26"/>
      <c r="D3" s="20" t="s">
        <v>266</v>
      </c>
    </row>
    <row r="4" spans="2:12" x14ac:dyDescent="0.25">
      <c r="B4" s="26" t="s">
        <v>72</v>
      </c>
      <c r="C4" s="26"/>
      <c r="D4" s="7" t="s">
        <v>267</v>
      </c>
    </row>
    <row r="5" spans="2:12" x14ac:dyDescent="0.25">
      <c r="B5" s="26" t="s">
        <v>74</v>
      </c>
      <c r="C5" s="26"/>
      <c r="D5" s="7" t="s">
        <v>268</v>
      </c>
    </row>
    <row r="6" spans="2:12" x14ac:dyDescent="0.25">
      <c r="B6" s="13"/>
    </row>
    <row r="7" spans="2:12" ht="45" x14ac:dyDescent="0.25">
      <c r="B7" s="47" t="s">
        <v>76</v>
      </c>
      <c r="C7" s="47" t="s">
        <v>77</v>
      </c>
      <c r="D7" s="47" t="s">
        <v>78</v>
      </c>
      <c r="E7" s="47" t="s">
        <v>79</v>
      </c>
      <c r="F7" s="47" t="s">
        <v>80</v>
      </c>
      <c r="G7" s="47" t="s">
        <v>12</v>
      </c>
      <c r="H7" s="47" t="s">
        <v>81</v>
      </c>
      <c r="I7" s="47" t="s">
        <v>11</v>
      </c>
      <c r="J7" s="47" t="s">
        <v>82</v>
      </c>
      <c r="K7" s="47" t="s">
        <v>83</v>
      </c>
      <c r="L7" s="47" t="s">
        <v>84</v>
      </c>
    </row>
    <row r="8" spans="2:12" x14ac:dyDescent="0.25">
      <c r="B8" s="28" t="s">
        <v>85</v>
      </c>
      <c r="C8" s="3" t="s">
        <v>86</v>
      </c>
      <c r="D8" s="3">
        <v>10</v>
      </c>
      <c r="E8" s="15">
        <v>50</v>
      </c>
      <c r="F8" s="15">
        <v>60</v>
      </c>
      <c r="G8" s="14" t="s">
        <v>102</v>
      </c>
      <c r="H8" s="14" t="s">
        <v>103</v>
      </c>
      <c r="I8" s="14" t="s">
        <v>63</v>
      </c>
      <c r="J8" s="14" t="s">
        <v>269</v>
      </c>
      <c r="K8" s="14" t="s">
        <v>270</v>
      </c>
      <c r="L8" s="14" t="s">
        <v>271</v>
      </c>
    </row>
    <row r="9" spans="2:12" x14ac:dyDescent="0.25">
      <c r="B9" s="28" t="s">
        <v>92</v>
      </c>
      <c r="C9" s="3" t="s">
        <v>93</v>
      </c>
      <c r="D9" s="3">
        <v>20</v>
      </c>
      <c r="E9" s="15">
        <v>25</v>
      </c>
      <c r="F9" s="15">
        <v>30</v>
      </c>
      <c r="G9" s="14" t="s">
        <v>122</v>
      </c>
      <c r="H9" s="14" t="s">
        <v>123</v>
      </c>
      <c r="I9" s="14" t="s">
        <v>272</v>
      </c>
      <c r="J9" s="14" t="s">
        <v>273</v>
      </c>
      <c r="K9" s="14" t="s">
        <v>274</v>
      </c>
      <c r="L9" s="14" t="s">
        <v>275</v>
      </c>
    </row>
    <row r="10" spans="2:12" x14ac:dyDescent="0.25">
      <c r="B10" s="28" t="s">
        <v>128</v>
      </c>
      <c r="C10" s="3" t="s">
        <v>129</v>
      </c>
      <c r="D10" s="3">
        <v>99</v>
      </c>
      <c r="E10" s="14"/>
      <c r="F10" s="15">
        <v>15</v>
      </c>
      <c r="G10" s="14" t="s">
        <v>122</v>
      </c>
      <c r="H10" s="14" t="s">
        <v>123</v>
      </c>
      <c r="I10" s="14" t="s">
        <v>276</v>
      </c>
      <c r="J10" s="14" t="s">
        <v>277</v>
      </c>
      <c r="K10" s="14" t="s">
        <v>278</v>
      </c>
      <c r="L10" s="14" t="s">
        <v>279</v>
      </c>
    </row>
    <row r="11" spans="2:12" x14ac:dyDescent="0.25">
      <c r="B11" s="28" t="s">
        <v>100</v>
      </c>
      <c r="C11" s="3" t="s">
        <v>101</v>
      </c>
      <c r="D11" s="3">
        <v>30</v>
      </c>
      <c r="E11" s="15">
        <v>10</v>
      </c>
      <c r="F11" s="15">
        <v>12</v>
      </c>
      <c r="G11" s="14" t="s">
        <v>142</v>
      </c>
      <c r="H11" s="14" t="s">
        <v>143</v>
      </c>
      <c r="I11" s="14" t="s">
        <v>280</v>
      </c>
      <c r="J11" s="14" t="s">
        <v>281</v>
      </c>
      <c r="K11" s="14" t="s">
        <v>282</v>
      </c>
      <c r="L11" s="14" t="s">
        <v>283</v>
      </c>
    </row>
    <row r="12" spans="2:12" x14ac:dyDescent="0.25">
      <c r="B12" s="28" t="s">
        <v>108</v>
      </c>
      <c r="C12" s="3" t="s">
        <v>109</v>
      </c>
      <c r="D12" s="3">
        <v>40</v>
      </c>
      <c r="E12" s="15">
        <v>8</v>
      </c>
      <c r="F12" s="15">
        <v>10</v>
      </c>
      <c r="G12" s="14" t="s">
        <v>142</v>
      </c>
      <c r="H12" s="14" t="s">
        <v>143</v>
      </c>
      <c r="I12" s="14" t="s">
        <v>284</v>
      </c>
      <c r="J12" s="14" t="s">
        <v>285</v>
      </c>
      <c r="K12" s="14" t="s">
        <v>286</v>
      </c>
      <c r="L12" s="14" t="s">
        <v>287</v>
      </c>
    </row>
    <row r="13" spans="2:12" x14ac:dyDescent="0.25">
      <c r="B13" s="28" t="s">
        <v>114</v>
      </c>
      <c r="C13" s="3" t="s">
        <v>115</v>
      </c>
      <c r="D13" s="3">
        <v>50</v>
      </c>
      <c r="E13" s="15">
        <v>7</v>
      </c>
      <c r="F13" s="15">
        <v>9</v>
      </c>
      <c r="G13" s="14" t="s">
        <v>142</v>
      </c>
      <c r="H13" s="14" t="s">
        <v>143</v>
      </c>
      <c r="I13" s="14" t="s">
        <v>288</v>
      </c>
      <c r="J13" s="14" t="s">
        <v>289</v>
      </c>
      <c r="K13" s="14" t="s">
        <v>290</v>
      </c>
      <c r="L13" s="14" t="s">
        <v>291</v>
      </c>
    </row>
    <row r="14" spans="2:12" x14ac:dyDescent="0.25">
      <c r="B14" s="28" t="s">
        <v>120</v>
      </c>
      <c r="C14" s="3" t="s">
        <v>121</v>
      </c>
      <c r="D14" s="3">
        <v>60</v>
      </c>
      <c r="E14" s="15">
        <v>6</v>
      </c>
      <c r="F14" s="15">
        <v>8</v>
      </c>
      <c r="G14" s="14" t="s">
        <v>142</v>
      </c>
      <c r="H14" s="14" t="s">
        <v>143</v>
      </c>
      <c r="I14" s="14" t="s">
        <v>292</v>
      </c>
      <c r="J14" s="14" t="s">
        <v>293</v>
      </c>
      <c r="K14" s="14" t="s">
        <v>294</v>
      </c>
      <c r="L14" s="14" t="s">
        <v>295</v>
      </c>
    </row>
    <row r="15" spans="2:12" x14ac:dyDescent="0.25">
      <c r="B15" s="28" t="s">
        <v>134</v>
      </c>
      <c r="C15" s="3" t="s">
        <v>135</v>
      </c>
      <c r="D15" s="3">
        <v>70</v>
      </c>
      <c r="E15" s="15">
        <v>5</v>
      </c>
      <c r="F15" s="15">
        <v>6</v>
      </c>
      <c r="G15" s="14" t="s">
        <v>211</v>
      </c>
      <c r="H15" s="3" t="s">
        <v>212</v>
      </c>
      <c r="I15" s="14" t="s">
        <v>296</v>
      </c>
      <c r="J15" s="14" t="s">
        <v>297</v>
      </c>
      <c r="K15" s="14" t="s">
        <v>298</v>
      </c>
      <c r="L15" s="14" t="s">
        <v>299</v>
      </c>
    </row>
    <row r="16" spans="2:12" x14ac:dyDescent="0.25">
      <c r="B16" s="28" t="s">
        <v>140</v>
      </c>
      <c r="C16" s="3" t="s">
        <v>141</v>
      </c>
      <c r="D16" s="3">
        <v>80</v>
      </c>
      <c r="E16" s="15">
        <v>3</v>
      </c>
      <c r="F16" s="15">
        <v>4</v>
      </c>
      <c r="G16" s="14" t="s">
        <v>211</v>
      </c>
      <c r="H16" s="3" t="s">
        <v>212</v>
      </c>
      <c r="I16" s="14" t="s">
        <v>300</v>
      </c>
      <c r="J16" s="14" t="s">
        <v>301</v>
      </c>
      <c r="K16" s="3" t="s">
        <v>302</v>
      </c>
      <c r="L16" s="3" t="s">
        <v>303</v>
      </c>
    </row>
    <row r="17" spans="2:12" x14ac:dyDescent="0.25">
      <c r="B17" s="28" t="s">
        <v>304</v>
      </c>
      <c r="C17" s="3"/>
      <c r="D17" s="3"/>
      <c r="E17" s="14">
        <v>2</v>
      </c>
      <c r="F17" s="15">
        <v>2</v>
      </c>
      <c r="G17" s="14" t="s">
        <v>149</v>
      </c>
      <c r="H17" s="14" t="s">
        <v>150</v>
      </c>
      <c r="I17" s="3" t="s">
        <v>303</v>
      </c>
      <c r="J17" s="3" t="s">
        <v>305</v>
      </c>
      <c r="K17" s="3" t="s">
        <v>306</v>
      </c>
      <c r="L17" s="3" t="s">
        <v>307</v>
      </c>
    </row>
    <row r="18" spans="2:12" x14ac:dyDescent="0.25">
      <c r="D18" s="50" t="s">
        <v>170</v>
      </c>
      <c r="E18" s="35">
        <f>SUM(E8:E17)</f>
        <v>116</v>
      </c>
      <c r="F18" s="35">
        <f>SUM(F8:F17)</f>
        <v>156</v>
      </c>
    </row>
    <row r="20" spans="2:12" ht="45" x14ac:dyDescent="0.25">
      <c r="B20" s="24" t="s">
        <v>76</v>
      </c>
      <c r="C20" s="24" t="s">
        <v>171</v>
      </c>
      <c r="D20" s="24" t="s">
        <v>172</v>
      </c>
    </row>
    <row r="21" spans="2:12" x14ac:dyDescent="0.25">
      <c r="B21" s="5" t="s">
        <v>85</v>
      </c>
      <c r="C21" s="30">
        <v>60</v>
      </c>
      <c r="D21" s="5">
        <v>3</v>
      </c>
    </row>
    <row r="22" spans="2:12" x14ac:dyDescent="0.25">
      <c r="B22" s="5" t="s">
        <v>92</v>
      </c>
      <c r="C22" s="30">
        <v>30</v>
      </c>
      <c r="D22" s="5">
        <v>2</v>
      </c>
    </row>
    <row r="23" spans="2:12" x14ac:dyDescent="0.25">
      <c r="B23" s="5" t="s">
        <v>100</v>
      </c>
      <c r="C23" s="30">
        <v>12</v>
      </c>
      <c r="D23" s="5">
        <v>1</v>
      </c>
    </row>
    <row r="24" spans="2:12" x14ac:dyDescent="0.25">
      <c r="B24" s="5" t="s">
        <v>108</v>
      </c>
      <c r="C24" s="30">
        <v>10</v>
      </c>
      <c r="D24" s="5">
        <v>1</v>
      </c>
    </row>
    <row r="25" spans="2:12" x14ac:dyDescent="0.25">
      <c r="B25" s="5" t="s">
        <v>114</v>
      </c>
      <c r="C25" s="30">
        <v>9</v>
      </c>
      <c r="D25" s="5">
        <v>1</v>
      </c>
    </row>
    <row r="26" spans="2:12" x14ac:dyDescent="0.25">
      <c r="B26" s="5" t="s">
        <v>120</v>
      </c>
      <c r="C26" s="30">
        <v>8</v>
      </c>
      <c r="D26" s="5">
        <v>1</v>
      </c>
    </row>
    <row r="27" spans="2:12" x14ac:dyDescent="0.25">
      <c r="B27" s="5" t="s">
        <v>134</v>
      </c>
      <c r="C27" s="30">
        <v>6</v>
      </c>
      <c r="D27" s="5">
        <v>1</v>
      </c>
    </row>
    <row r="28" spans="2:12" x14ac:dyDescent="0.25">
      <c r="B28" s="5" t="s">
        <v>140</v>
      </c>
      <c r="C28" s="30">
        <v>4</v>
      </c>
      <c r="D28" s="5">
        <v>1</v>
      </c>
    </row>
    <row r="29" spans="2:12" x14ac:dyDescent="0.25">
      <c r="B29" s="21" t="s">
        <v>173</v>
      </c>
      <c r="C29" s="31">
        <f>SUM(C21:C28)</f>
        <v>139</v>
      </c>
      <c r="D29" s="21">
        <f>SUM(D21:D28)</f>
        <v>11</v>
      </c>
    </row>
    <row r="31" spans="2:12" ht="30" x14ac:dyDescent="0.25">
      <c r="B31" s="33" t="s">
        <v>174</v>
      </c>
      <c r="C31" s="24" t="s">
        <v>175</v>
      </c>
    </row>
    <row r="32" spans="2:12" x14ac:dyDescent="0.25">
      <c r="B32" s="5" t="s">
        <v>172</v>
      </c>
      <c r="C32" s="5">
        <f>D29</f>
        <v>11</v>
      </c>
    </row>
    <row r="33" spans="2:3" ht="45" x14ac:dyDescent="0.25">
      <c r="B33" s="25" t="s">
        <v>176</v>
      </c>
      <c r="C33" s="34">
        <v>4</v>
      </c>
    </row>
    <row r="34" spans="2:3" x14ac:dyDescent="0.25">
      <c r="B34" s="21" t="s">
        <v>173</v>
      </c>
      <c r="C34" s="21">
        <f>SUM(C32:C33)</f>
        <v>15</v>
      </c>
    </row>
  </sheetData>
  <sortState xmlns:xlrd2="http://schemas.microsoft.com/office/spreadsheetml/2017/richdata2" ref="B64:L75">
    <sortCondition descending="1" ref="F64:F75"/>
  </sortState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98FA-9EA1-403D-BF75-42D9776F0E86}">
  <dimension ref="B3:L34"/>
  <sheetViews>
    <sheetView tabSelected="1" zoomScale="89" zoomScaleNormal="89" workbookViewId="0">
      <selection activeCell="P20" sqref="P20"/>
    </sheetView>
  </sheetViews>
  <sheetFormatPr baseColWidth="10" defaultColWidth="8.7109375" defaultRowHeight="15" x14ac:dyDescent="0.25"/>
  <cols>
    <col min="2" max="3" width="17.85546875" customWidth="1"/>
    <col min="4" max="4" width="15" customWidth="1"/>
    <col min="5" max="12" width="17.85546875" customWidth="1"/>
  </cols>
  <sheetData>
    <row r="3" spans="2:12" ht="45" x14ac:dyDescent="0.25">
      <c r="B3" s="26" t="s">
        <v>70</v>
      </c>
      <c r="C3" s="26"/>
      <c r="D3" s="20" t="s">
        <v>308</v>
      </c>
    </row>
    <row r="4" spans="2:12" x14ac:dyDescent="0.25">
      <c r="B4" s="26" t="s">
        <v>72</v>
      </c>
      <c r="C4" s="26"/>
      <c r="D4" s="7" t="s">
        <v>309</v>
      </c>
    </row>
    <row r="5" spans="2:12" x14ac:dyDescent="0.25">
      <c r="B5" s="26" t="s">
        <v>74</v>
      </c>
      <c r="C5" s="26"/>
      <c r="D5" s="7" t="s">
        <v>310</v>
      </c>
    </row>
    <row r="6" spans="2:12" x14ac:dyDescent="0.25">
      <c r="B6" s="13"/>
    </row>
    <row r="7" spans="2:12" ht="30" x14ac:dyDescent="0.25">
      <c r="B7" s="49" t="s">
        <v>76</v>
      </c>
      <c r="C7" s="47" t="s">
        <v>77</v>
      </c>
      <c r="D7" s="47" t="s">
        <v>78</v>
      </c>
      <c r="E7" s="47" t="s">
        <v>79</v>
      </c>
      <c r="F7" s="47" t="s">
        <v>80</v>
      </c>
      <c r="G7" s="47" t="s">
        <v>12</v>
      </c>
      <c r="H7" s="47" t="s">
        <v>81</v>
      </c>
      <c r="I7" s="47" t="s">
        <v>11</v>
      </c>
      <c r="J7" s="47" t="s">
        <v>82</v>
      </c>
      <c r="K7" s="47" t="s">
        <v>83</v>
      </c>
      <c r="L7" s="49" t="s">
        <v>84</v>
      </c>
    </row>
    <row r="8" spans="2:12" x14ac:dyDescent="0.25">
      <c r="B8" s="21" t="s">
        <v>85</v>
      </c>
      <c r="C8" s="5" t="s">
        <v>86</v>
      </c>
      <c r="D8" s="5">
        <v>10</v>
      </c>
      <c r="E8" s="15">
        <v>48</v>
      </c>
      <c r="F8" s="15">
        <v>58</v>
      </c>
      <c r="G8" s="14" t="s">
        <v>102</v>
      </c>
      <c r="H8" s="17" t="s">
        <v>103</v>
      </c>
      <c r="I8" s="14" t="s">
        <v>66</v>
      </c>
      <c r="J8" s="14" t="s">
        <v>311</v>
      </c>
      <c r="K8" s="14" t="s">
        <v>312</v>
      </c>
      <c r="L8" s="14" t="s">
        <v>313</v>
      </c>
    </row>
    <row r="9" spans="2:12" x14ac:dyDescent="0.25">
      <c r="B9" s="21" t="s">
        <v>92</v>
      </c>
      <c r="C9" s="5" t="s">
        <v>93</v>
      </c>
      <c r="D9" s="5">
        <v>20</v>
      </c>
      <c r="E9" s="15">
        <v>24</v>
      </c>
      <c r="F9" s="15">
        <v>29</v>
      </c>
      <c r="G9" s="14" t="s">
        <v>122</v>
      </c>
      <c r="H9" s="14" t="s">
        <v>123</v>
      </c>
      <c r="I9" s="14" t="s">
        <v>314</v>
      </c>
      <c r="J9" s="14" t="s">
        <v>315</v>
      </c>
      <c r="K9" s="14" t="s">
        <v>316</v>
      </c>
      <c r="L9" s="14" t="s">
        <v>317</v>
      </c>
    </row>
    <row r="10" spans="2:12" x14ac:dyDescent="0.25">
      <c r="B10" s="21" t="s">
        <v>128</v>
      </c>
      <c r="C10" s="5" t="s">
        <v>129</v>
      </c>
      <c r="D10" s="22">
        <v>99</v>
      </c>
      <c r="E10" s="16"/>
      <c r="F10" s="15">
        <v>15</v>
      </c>
      <c r="G10" s="14" t="s">
        <v>122</v>
      </c>
      <c r="H10" s="14" t="s">
        <v>123</v>
      </c>
      <c r="I10" s="14" t="s">
        <v>318</v>
      </c>
      <c r="J10" s="14" t="s">
        <v>319</v>
      </c>
      <c r="K10" s="14" t="s">
        <v>320</v>
      </c>
      <c r="L10" s="14" t="s">
        <v>321</v>
      </c>
    </row>
    <row r="11" spans="2:12" x14ac:dyDescent="0.25">
      <c r="B11" s="21" t="s">
        <v>100</v>
      </c>
      <c r="C11" s="5" t="s">
        <v>101</v>
      </c>
      <c r="D11" s="5">
        <v>30</v>
      </c>
      <c r="E11" s="15">
        <v>10</v>
      </c>
      <c r="F11" s="15">
        <v>12</v>
      </c>
      <c r="G11" s="14" t="s">
        <v>142</v>
      </c>
      <c r="H11" s="17" t="s">
        <v>143</v>
      </c>
      <c r="I11" s="14" t="s">
        <v>322</v>
      </c>
      <c r="J11" s="14" t="s">
        <v>323</v>
      </c>
      <c r="K11" s="14" t="s">
        <v>324</v>
      </c>
      <c r="L11" s="14" t="s">
        <v>325</v>
      </c>
    </row>
    <row r="12" spans="2:12" x14ac:dyDescent="0.25">
      <c r="B12" s="21" t="s">
        <v>108</v>
      </c>
      <c r="C12" s="5" t="s">
        <v>109</v>
      </c>
      <c r="D12" s="5">
        <v>40</v>
      </c>
      <c r="E12" s="15">
        <v>8</v>
      </c>
      <c r="F12" s="15">
        <v>10</v>
      </c>
      <c r="G12" s="14" t="s">
        <v>142</v>
      </c>
      <c r="H12" s="14" t="s">
        <v>143</v>
      </c>
      <c r="I12" s="14" t="s">
        <v>326</v>
      </c>
      <c r="J12" s="14" t="s">
        <v>285</v>
      </c>
      <c r="K12" s="14" t="s">
        <v>327</v>
      </c>
      <c r="L12" s="14" t="s">
        <v>328</v>
      </c>
    </row>
    <row r="13" spans="2:12" x14ac:dyDescent="0.25">
      <c r="B13" s="21" t="s">
        <v>114</v>
      </c>
      <c r="C13" s="5" t="s">
        <v>115</v>
      </c>
      <c r="D13" s="5">
        <v>50</v>
      </c>
      <c r="E13" s="15">
        <v>8</v>
      </c>
      <c r="F13" s="15">
        <v>10</v>
      </c>
      <c r="G13" s="14" t="s">
        <v>142</v>
      </c>
      <c r="H13" s="14" t="s">
        <v>143</v>
      </c>
      <c r="I13" s="14" t="s">
        <v>329</v>
      </c>
      <c r="J13" s="14" t="s">
        <v>330</v>
      </c>
      <c r="K13" s="14" t="s">
        <v>331</v>
      </c>
      <c r="L13" s="14" t="s">
        <v>332</v>
      </c>
    </row>
    <row r="14" spans="2:12" x14ac:dyDescent="0.25">
      <c r="B14" s="21" t="s">
        <v>120</v>
      </c>
      <c r="C14" s="5" t="s">
        <v>121</v>
      </c>
      <c r="D14" s="5">
        <v>60</v>
      </c>
      <c r="E14" s="15">
        <v>6</v>
      </c>
      <c r="F14" s="15">
        <v>8</v>
      </c>
      <c r="G14" s="14" t="s">
        <v>142</v>
      </c>
      <c r="H14" s="14" t="s">
        <v>143</v>
      </c>
      <c r="I14" s="14" t="s">
        <v>333</v>
      </c>
      <c r="J14" s="14" t="s">
        <v>334</v>
      </c>
      <c r="K14" s="14" t="s">
        <v>335</v>
      </c>
      <c r="L14" s="14" t="s">
        <v>336</v>
      </c>
    </row>
    <row r="15" spans="2:12" x14ac:dyDescent="0.25">
      <c r="B15" s="21" t="s">
        <v>134</v>
      </c>
      <c r="C15" s="5" t="s">
        <v>135</v>
      </c>
      <c r="D15" s="5">
        <v>70</v>
      </c>
      <c r="E15" s="15">
        <v>4</v>
      </c>
      <c r="F15" s="15">
        <v>5</v>
      </c>
      <c r="G15" s="14" t="s">
        <v>211</v>
      </c>
      <c r="H15" s="3" t="s">
        <v>212</v>
      </c>
      <c r="I15" s="14" t="s">
        <v>337</v>
      </c>
      <c r="J15" s="14" t="s">
        <v>338</v>
      </c>
      <c r="K15" s="14" t="s">
        <v>339</v>
      </c>
      <c r="L15" s="14" t="s">
        <v>340</v>
      </c>
    </row>
    <row r="16" spans="2:12" x14ac:dyDescent="0.25">
      <c r="B16" s="21" t="s">
        <v>140</v>
      </c>
      <c r="C16" s="5" t="s">
        <v>141</v>
      </c>
      <c r="D16" s="5">
        <v>80</v>
      </c>
      <c r="E16" s="15">
        <v>2</v>
      </c>
      <c r="F16" s="15">
        <v>3</v>
      </c>
      <c r="G16" s="14" t="s">
        <v>211</v>
      </c>
      <c r="H16" s="3" t="s">
        <v>212</v>
      </c>
      <c r="I16" s="14" t="s">
        <v>341</v>
      </c>
      <c r="J16" s="14" t="s">
        <v>342</v>
      </c>
      <c r="K16" s="3" t="s">
        <v>343</v>
      </c>
      <c r="L16" s="3" t="s">
        <v>344</v>
      </c>
    </row>
    <row r="17" spans="2:12" x14ac:dyDescent="0.25">
      <c r="B17" s="21" t="s">
        <v>345</v>
      </c>
      <c r="C17" s="5"/>
      <c r="D17" s="5"/>
      <c r="E17" s="14">
        <v>2</v>
      </c>
      <c r="F17" s="15">
        <v>2</v>
      </c>
      <c r="G17" s="14" t="s">
        <v>149</v>
      </c>
      <c r="H17" s="14" t="s">
        <v>150</v>
      </c>
      <c r="I17" s="3" t="s">
        <v>346</v>
      </c>
      <c r="J17" s="3" t="s">
        <v>347</v>
      </c>
      <c r="K17" s="3" t="s">
        <v>348</v>
      </c>
      <c r="L17" s="3" t="s">
        <v>349</v>
      </c>
    </row>
    <row r="18" spans="2:12" x14ac:dyDescent="0.25">
      <c r="D18" s="21" t="s">
        <v>170</v>
      </c>
      <c r="E18" s="28">
        <f>SUM(E8:E17)</f>
        <v>112</v>
      </c>
      <c r="F18" s="29">
        <f>SUM(F8:F17)</f>
        <v>152</v>
      </c>
    </row>
    <row r="20" spans="2:12" ht="30" x14ac:dyDescent="0.25">
      <c r="B20" s="36" t="s">
        <v>76</v>
      </c>
      <c r="C20" s="36" t="s">
        <v>171</v>
      </c>
      <c r="D20" s="36" t="s">
        <v>172</v>
      </c>
    </row>
    <row r="21" spans="2:12" x14ac:dyDescent="0.25">
      <c r="B21" s="5" t="s">
        <v>85</v>
      </c>
      <c r="C21" s="30">
        <v>58</v>
      </c>
      <c r="D21" s="5">
        <v>3</v>
      </c>
    </row>
    <row r="22" spans="2:12" x14ac:dyDescent="0.25">
      <c r="B22" s="5" t="s">
        <v>92</v>
      </c>
      <c r="C22" s="30">
        <v>29</v>
      </c>
      <c r="D22" s="5">
        <v>2</v>
      </c>
    </row>
    <row r="23" spans="2:12" x14ac:dyDescent="0.25">
      <c r="B23" s="5" t="s">
        <v>100</v>
      </c>
      <c r="C23" s="30">
        <v>12</v>
      </c>
      <c r="D23" s="5">
        <v>1</v>
      </c>
    </row>
    <row r="24" spans="2:12" x14ac:dyDescent="0.25">
      <c r="B24" s="5" t="s">
        <v>108</v>
      </c>
      <c r="C24" s="30">
        <v>10</v>
      </c>
      <c r="D24" s="5">
        <v>1</v>
      </c>
    </row>
    <row r="25" spans="2:12" x14ac:dyDescent="0.25">
      <c r="B25" s="5" t="s">
        <v>114</v>
      </c>
      <c r="C25" s="30">
        <v>10</v>
      </c>
      <c r="D25" s="5">
        <v>1</v>
      </c>
    </row>
    <row r="26" spans="2:12" x14ac:dyDescent="0.25">
      <c r="B26" s="5" t="s">
        <v>120</v>
      </c>
      <c r="C26" s="30">
        <v>8</v>
      </c>
      <c r="D26" s="5">
        <v>1</v>
      </c>
    </row>
    <row r="27" spans="2:12" x14ac:dyDescent="0.25">
      <c r="B27" s="5" t="s">
        <v>134</v>
      </c>
      <c r="C27" s="30">
        <v>5</v>
      </c>
      <c r="D27" s="5">
        <v>1</v>
      </c>
    </row>
    <row r="28" spans="2:12" x14ac:dyDescent="0.25">
      <c r="B28" s="5" t="s">
        <v>140</v>
      </c>
      <c r="C28" s="30">
        <v>3</v>
      </c>
      <c r="D28" s="5">
        <v>1</v>
      </c>
    </row>
    <row r="29" spans="2:12" x14ac:dyDescent="0.25">
      <c r="B29" s="21" t="s">
        <v>173</v>
      </c>
      <c r="C29" s="31">
        <f>SUM(C21:C28)</f>
        <v>135</v>
      </c>
      <c r="D29" s="21">
        <f>SUM(D21:D28)</f>
        <v>11</v>
      </c>
    </row>
    <row r="31" spans="2:12" ht="30" x14ac:dyDescent="0.25">
      <c r="B31" s="33" t="s">
        <v>174</v>
      </c>
      <c r="C31" s="36" t="s">
        <v>175</v>
      </c>
    </row>
    <row r="32" spans="2:12" x14ac:dyDescent="0.25">
      <c r="B32" s="5" t="s">
        <v>172</v>
      </c>
      <c r="C32" s="5">
        <f>D29</f>
        <v>11</v>
      </c>
    </row>
    <row r="33" spans="2:3" ht="45" x14ac:dyDescent="0.25">
      <c r="B33" s="25" t="s">
        <v>176</v>
      </c>
      <c r="C33" s="34">
        <v>4</v>
      </c>
    </row>
    <row r="34" spans="2:3" x14ac:dyDescent="0.25">
      <c r="B34" s="21" t="s">
        <v>173</v>
      </c>
      <c r="C34" s="21">
        <f>SUM(C32:C33)</f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PERÚ</vt:lpstr>
      <vt:lpstr>LIMA</vt:lpstr>
      <vt:lpstr>LA LIBERTAD</vt:lpstr>
      <vt:lpstr>ICA</vt:lpstr>
      <vt:lpstr>HUANUCO</vt:lpstr>
      <vt:lpstr>PUNO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u202315609 (Cochachi Esteban, Luz Clarita)</cp:lastModifiedBy>
  <cp:revision/>
  <dcterms:created xsi:type="dcterms:W3CDTF">2025-09-15T20:26:00Z</dcterms:created>
  <dcterms:modified xsi:type="dcterms:W3CDTF">2025-10-27T18:51:06Z</dcterms:modified>
  <cp:category/>
  <cp:contentStatus/>
</cp:coreProperties>
</file>